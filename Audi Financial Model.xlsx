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shitaharies/Downloads/"/>
    </mc:Choice>
  </mc:AlternateContent>
  <xr:revisionPtr revIDLastSave="0" documentId="13_ncr:1_{836EFEE0-5737-054C-B9B6-D38F74384326}" xr6:coauthVersionLast="47" xr6:coauthVersionMax="47" xr10:uidLastSave="{00000000-0000-0000-0000-000000000000}"/>
  <bookViews>
    <workbookView xWindow="0" yWindow="680" windowWidth="15420" windowHeight="17340" xr2:uid="{CA9D8CCC-D706-1745-964A-D5AFC984C42C}"/>
  </bookViews>
  <sheets>
    <sheet name="DashBoard" sheetId="9" r:id="rId1"/>
    <sheet name="Drivers" sheetId="4" r:id="rId2"/>
    <sheet name="IS Forecast" sheetId="5" r:id="rId3"/>
    <sheet name="BS Forecast" sheetId="6" r:id="rId4"/>
    <sheet name="CF Forecast" sheetId="7" r:id="rId5"/>
    <sheet name="DCF" sheetId="8" r:id="rId6"/>
    <sheet name="IS Actuals" sheetId="1" r:id="rId7"/>
    <sheet name="BS Actuals" sheetId="2" r:id="rId8"/>
    <sheet name="CF Actuals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9" l="1"/>
  <c r="K41" i="9"/>
  <c r="K40" i="9"/>
  <c r="K39" i="9"/>
  <c r="K38" i="9"/>
  <c r="J41" i="9"/>
  <c r="J40" i="9"/>
  <c r="J39" i="9"/>
  <c r="J38" i="9"/>
  <c r="I41" i="9"/>
  <c r="I40" i="9"/>
  <c r="I39" i="9"/>
  <c r="I38" i="9"/>
  <c r="F7" i="8"/>
  <c r="F12" i="9"/>
  <c r="E12" i="9"/>
  <c r="C12" i="9"/>
  <c r="I8" i="4"/>
  <c r="D3" i="4" s="1"/>
  <c r="H8" i="4"/>
  <c r="B13" i="4" s="1"/>
  <c r="D13" i="4" s="1"/>
  <c r="G8" i="4"/>
  <c r="D2" i="4" s="1"/>
  <c r="E7" i="6"/>
  <c r="F11" i="7"/>
  <c r="G11" i="7"/>
  <c r="E13" i="7"/>
  <c r="E11" i="7"/>
  <c r="E13" i="6"/>
  <c r="F13" i="6"/>
  <c r="G13" i="6"/>
  <c r="F7" i="6"/>
  <c r="G7" i="6"/>
  <c r="F9" i="5"/>
  <c r="G9" i="5"/>
  <c r="E9" i="5"/>
  <c r="B3" i="4" l="1"/>
  <c r="C3" i="4"/>
  <c r="F9" i="8"/>
  <c r="E9" i="8"/>
  <c r="G9" i="8"/>
  <c r="C13" i="4"/>
  <c r="B2" i="4"/>
  <c r="E2" i="5" s="1"/>
  <c r="E7" i="5" s="1"/>
  <c r="C2" i="4"/>
  <c r="E4" i="6" l="1"/>
  <c r="E4" i="7" s="1"/>
  <c r="E5" i="8"/>
  <c r="E3" i="7"/>
  <c r="E5" i="6"/>
  <c r="E5" i="7" s="1"/>
  <c r="E3" i="5"/>
  <c r="E4" i="5" s="1"/>
  <c r="E7" i="8"/>
  <c r="F2" i="5"/>
  <c r="E9" i="7"/>
  <c r="E10" i="7" s="1"/>
  <c r="E2" i="6"/>
  <c r="E5" i="5"/>
  <c r="E6" i="5"/>
  <c r="F5" i="8" l="1"/>
  <c r="E15" i="6"/>
  <c r="F4" i="6"/>
  <c r="G2" i="5"/>
  <c r="G4" i="6" s="1"/>
  <c r="F3" i="5"/>
  <c r="F4" i="5" s="1"/>
  <c r="F7" i="5"/>
  <c r="F5" i="5"/>
  <c r="F5" i="6"/>
  <c r="F5" i="7" s="1"/>
  <c r="F2" i="6"/>
  <c r="F6" i="5"/>
  <c r="F3" i="7"/>
  <c r="E8" i="5"/>
  <c r="E10" i="5" s="1"/>
  <c r="F9" i="7"/>
  <c r="F10" i="7" s="1"/>
  <c r="F4" i="7"/>
  <c r="E14" i="6"/>
  <c r="E6" i="7"/>
  <c r="E7" i="7" s="1"/>
  <c r="E6" i="8" s="1"/>
  <c r="G5" i="6" l="1"/>
  <c r="G5" i="7" s="1"/>
  <c r="F15" i="6"/>
  <c r="G7" i="8"/>
  <c r="G3" i="5"/>
  <c r="G5" i="8"/>
  <c r="G5" i="5"/>
  <c r="G2" i="6"/>
  <c r="G6" i="5"/>
  <c r="G9" i="7"/>
  <c r="G10" i="7" s="1"/>
  <c r="G7" i="5"/>
  <c r="G3" i="7"/>
  <c r="F8" i="5"/>
  <c r="F2" i="8" s="1"/>
  <c r="E2" i="8"/>
  <c r="E3" i="8" s="1"/>
  <c r="E4" i="8" s="1"/>
  <c r="E8" i="8" s="1"/>
  <c r="E10" i="8" s="1"/>
  <c r="E11" i="5"/>
  <c r="E12" i="5" s="1"/>
  <c r="G4" i="5"/>
  <c r="G15" i="6"/>
  <c r="G4" i="7"/>
  <c r="F6" i="7"/>
  <c r="F7" i="7" s="1"/>
  <c r="F14" i="6"/>
  <c r="F12" i="6" s="1"/>
  <c r="E12" i="6"/>
  <c r="F10" i="5" l="1"/>
  <c r="F11" i="5" s="1"/>
  <c r="G8" i="5"/>
  <c r="G10" i="5" s="1"/>
  <c r="G6" i="7"/>
  <c r="G7" i="7" s="1"/>
  <c r="G14" i="6"/>
  <c r="G12" i="6" s="1"/>
  <c r="F6" i="8"/>
  <c r="E2" i="7"/>
  <c r="E8" i="7" s="1"/>
  <c r="E12" i="7" s="1"/>
  <c r="E14" i="7" s="1"/>
  <c r="E10" i="6"/>
  <c r="F3" i="8"/>
  <c r="F4" i="8" s="1"/>
  <c r="F12" i="5" l="1"/>
  <c r="F2" i="7" s="1"/>
  <c r="F8" i="7" s="1"/>
  <c r="F12" i="7" s="1"/>
  <c r="G2" i="8"/>
  <c r="G3" i="8" s="1"/>
  <c r="G4" i="8" s="1"/>
  <c r="F8" i="8"/>
  <c r="F10" i="8" s="1"/>
  <c r="F13" i="7"/>
  <c r="E6" i="6"/>
  <c r="G11" i="5"/>
  <c r="G12" i="5" s="1"/>
  <c r="G2" i="7" s="1"/>
  <c r="G8" i="7" s="1"/>
  <c r="G12" i="7" s="1"/>
  <c r="G6" i="8"/>
  <c r="F10" i="6" l="1"/>
  <c r="F14" i="7"/>
  <c r="G8" i="8"/>
  <c r="E3" i="6"/>
  <c r="G13" i="7"/>
  <c r="G14" i="7" s="1"/>
  <c r="G6" i="6" s="1"/>
  <c r="G3" i="6" s="1"/>
  <c r="G8" i="6" s="1"/>
  <c r="F6" i="6"/>
  <c r="F3" i="6" s="1"/>
  <c r="F8" i="6" s="1"/>
  <c r="G10" i="6"/>
  <c r="G10" i="8" l="1"/>
  <c r="G12" i="8"/>
  <c r="G13" i="8" s="1"/>
  <c r="F16" i="6"/>
  <c r="F17" i="6" s="1"/>
  <c r="E8" i="6"/>
  <c r="E16" i="6" s="1"/>
  <c r="E17" i="6" s="1"/>
  <c r="G16" i="6"/>
  <c r="G17" i="6" s="1"/>
  <c r="G14" i="8" l="1"/>
  <c r="H12" i="9" s="1"/>
</calcChain>
</file>

<file path=xl/sharedStrings.xml><?xml version="1.0" encoding="utf-8"?>
<sst xmlns="http://schemas.openxmlformats.org/spreadsheetml/2006/main" count="150" uniqueCount="105">
  <si>
    <t>Revenue</t>
  </si>
  <si>
    <t>Equity</t>
  </si>
  <si>
    <t>Cost of goods sold</t>
  </si>
  <si>
    <t>Distribution expenses</t>
  </si>
  <si>
    <t>Administrative expenses</t>
  </si>
  <si>
    <t>Other operating result</t>
  </si>
  <si>
    <t>Operating profit</t>
  </si>
  <si>
    <t>Financial result</t>
  </si>
  <si>
    <t>Profit before tax</t>
  </si>
  <si>
    <t>Income tax expense</t>
  </si>
  <si>
    <t>Profit after tax</t>
  </si>
  <si>
    <t>Total assets</t>
  </si>
  <si>
    <t>Net cash flow</t>
  </si>
  <si>
    <t>Income Statement</t>
  </si>
  <si>
    <t>Gross profit from sales</t>
  </si>
  <si>
    <t>ROS (return on sales) in %</t>
  </si>
  <si>
    <t>Balance Sheet</t>
  </si>
  <si>
    <t>Non-current assets</t>
  </si>
  <si>
    <t>Current assets</t>
  </si>
  <si>
    <t>of which inventories</t>
  </si>
  <si>
    <t>of which trade receivables</t>
  </si>
  <si>
    <t>of which cash and cash equivalents</t>
  </si>
  <si>
    <t>Assets held for sale</t>
  </si>
  <si>
    <t>Liabilities</t>
  </si>
  <si>
    <t>of which non-current liabilities</t>
  </si>
  <si>
    <t>of which current liabilities</t>
  </si>
  <si>
    <t>of which trade payables</t>
  </si>
  <si>
    <t>Total equity and liabilities</t>
  </si>
  <si>
    <t>Cash Flow Statement</t>
  </si>
  <si>
    <t>Cash and cash equivalents as of January 1</t>
  </si>
  <si>
    <t>Cash flow from operating activities</t>
  </si>
  <si>
    <t>Investing activities attributable to operating activities</t>
  </si>
  <si>
    <t>of which capital expenditure</t>
  </si>
  <si>
    <t>of which additions to capitalized development costs</t>
  </si>
  <si>
    <t>of which change in participations</t>
  </si>
  <si>
    <t>of which disposal of fixed assets</t>
  </si>
  <si>
    <t>Change in cash deposits and loans extended</t>
  </si>
  <si>
    <t>Capital contributions from non-controlling interests</t>
  </si>
  <si>
    <t>Profit transfer to the Volkswagen Group</t>
  </si>
  <si>
    <t>Lease payments; change in miscellaneous financial liabilities</t>
  </si>
  <si>
    <t>Change in cash and cash equivalents due to exchange rate effects</t>
  </si>
  <si>
    <t>Change in cash and cash equivalents</t>
  </si>
  <si>
    <t>Cash and cash equivalents as of December 31</t>
  </si>
  <si>
    <t>Net liquidity as of December 31</t>
  </si>
  <si>
    <t>Cash flow from investing activities</t>
  </si>
  <si>
    <t>Cash flow from financing activities</t>
  </si>
  <si>
    <t>Inventory % of revenue</t>
  </si>
  <si>
    <t>Receivables % of revenue</t>
  </si>
  <si>
    <t>Payables % of COGS</t>
  </si>
  <si>
    <t>2025F</t>
  </si>
  <si>
    <t>2026F</t>
  </si>
  <si>
    <t>2027F</t>
  </si>
  <si>
    <t>Other op result %</t>
  </si>
  <si>
    <t>CapEx % of revenue</t>
  </si>
  <si>
    <t>Tax rate</t>
  </si>
  <si>
    <t>WACC</t>
  </si>
  <si>
    <t>Terminal growth</t>
  </si>
  <si>
    <t>Driver</t>
  </si>
  <si>
    <t>Revenue growth %</t>
  </si>
  <si>
    <t>COGS % of revenue</t>
  </si>
  <si>
    <t>Distribution % of revenue</t>
  </si>
  <si>
    <t>Admin % of revenue</t>
  </si>
  <si>
    <t>D&amp;A % of revenue</t>
  </si>
  <si>
    <t>Income Statement Forecast</t>
  </si>
  <si>
    <t>EBIT</t>
  </si>
  <si>
    <t>Net income</t>
  </si>
  <si>
    <t>Cash Flow Statement Forecast</t>
  </si>
  <si>
    <t>Depreciation &amp; amortization</t>
  </si>
  <si>
    <t>Change in inventories</t>
  </si>
  <si>
    <t>Change in receivables</t>
  </si>
  <si>
    <t>Change in payables</t>
  </si>
  <si>
    <t>Change in working capital</t>
  </si>
  <si>
    <t>Cash flow from operations</t>
  </si>
  <si>
    <t>Capital expenditures (CapEx)</t>
  </si>
  <si>
    <t>Cash flow from investing</t>
  </si>
  <si>
    <t>Cash flow from financing</t>
  </si>
  <si>
    <t>Net change in cash</t>
  </si>
  <si>
    <t>Beginning cash</t>
  </si>
  <si>
    <t>Ending cash</t>
  </si>
  <si>
    <t>Balancing item (temporary)</t>
  </si>
  <si>
    <t>Free Cash Flow Forecast</t>
  </si>
  <si>
    <t>Tax on EBIT</t>
  </si>
  <si>
    <t>NOPAT</t>
  </si>
  <si>
    <t>Free cash flow (unlevered)</t>
  </si>
  <si>
    <t>Discount factor</t>
  </si>
  <si>
    <t>Present value of FCF</t>
  </si>
  <si>
    <t>Terminal value (at end of 2027)</t>
  </si>
  <si>
    <t>PV of terminal value</t>
  </si>
  <si>
    <t>Enterprise value</t>
  </si>
  <si>
    <t>Scenario</t>
  </si>
  <si>
    <t>Base</t>
  </si>
  <si>
    <t>Bull</t>
  </si>
  <si>
    <t>Bear</t>
  </si>
  <si>
    <t>RevAdj</t>
  </si>
  <si>
    <t>WACCAdj</t>
  </si>
  <si>
    <t>COGSAdj</t>
  </si>
  <si>
    <t>Forecast 2025–2027 | Scenarios: Base / Bull / Bear</t>
  </si>
  <si>
    <t>AUDI GROUP - FINANCIAL MODEL DASHBOARD</t>
  </si>
  <si>
    <t>Metric</t>
  </si>
  <si>
    <t>Revenue 2027F</t>
  </si>
  <si>
    <t>EBIT 2027F</t>
  </si>
  <si>
    <t>FCF 2027F</t>
  </si>
  <si>
    <t>Enterprise Value</t>
  </si>
  <si>
    <t>Active Scenario →</t>
  </si>
  <si>
    <t xml:space="preserve">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</si>
</sst>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_-[$€-2]\ * #,##0_-;\-[$€-2]\ * #,##0_-;_-[$€-2]\ * &quot;-&quot;??_-;_-@_-"/>
  </numFmts>
  <fonts count="17" x14ac:knownFonts="1"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Century Gothic"/>
      <family val="1"/>
    </font>
    <font>
      <sz val="12"/>
      <color theme="0"/>
      <name val="Century Gothic"/>
      <family val="1"/>
    </font>
    <font>
      <b/>
      <sz val="12"/>
      <color theme="0"/>
      <name val="Century Gothic"/>
      <family val="1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sz val="16"/>
      <color theme="0"/>
      <name val="Calibri"/>
      <family val="2"/>
    </font>
    <font>
      <sz val="12"/>
      <color theme="0"/>
      <name val="Calibri"/>
      <family val="2"/>
    </font>
    <font>
      <u/>
      <sz val="12"/>
      <color theme="0"/>
      <name val="Calibri"/>
      <family val="2"/>
    </font>
    <font>
      <b/>
      <sz val="20"/>
      <color theme="0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51515"/>
        <bgColor indexed="64"/>
      </patternFill>
    </fill>
  </fills>
  <borders count="13">
    <border>
      <left/>
      <right/>
      <top/>
      <bottom/>
      <diagonal/>
    </border>
    <border>
      <left/>
      <right style="thin">
        <color theme="2"/>
      </right>
      <top/>
      <bottom/>
      <diagonal/>
    </border>
    <border>
      <left style="medium">
        <color theme="2"/>
      </left>
      <right/>
      <top style="medium">
        <color theme="2"/>
      </top>
      <bottom/>
      <diagonal/>
    </border>
    <border>
      <left/>
      <right/>
      <top style="medium">
        <color theme="2"/>
      </top>
      <bottom/>
      <diagonal/>
    </border>
    <border>
      <left/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/>
      <top/>
      <bottom/>
      <diagonal/>
    </border>
    <border>
      <left/>
      <right style="medium">
        <color theme="2"/>
      </right>
      <top/>
      <bottom/>
      <diagonal/>
    </border>
    <border>
      <left style="medium">
        <color theme="2"/>
      </left>
      <right/>
      <top/>
      <bottom style="medium">
        <color theme="2"/>
      </bottom>
      <diagonal/>
    </border>
    <border>
      <left/>
      <right/>
      <top/>
      <bottom style="medium">
        <color theme="2"/>
      </bottom>
      <diagonal/>
    </border>
    <border>
      <left/>
      <right style="medium">
        <color theme="2"/>
      </right>
      <top/>
      <bottom style="medium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9" fontId="2" fillId="0" borderId="0" xfId="0" applyNumberFormat="1" applyFont="1"/>
    <xf numFmtId="10" fontId="2" fillId="0" borderId="0" xfId="0" applyNumberFormat="1" applyFont="1"/>
    <xf numFmtId="1" fontId="1" fillId="0" borderId="0" xfId="0" applyNumberFormat="1" applyFont="1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9" fontId="2" fillId="0" borderId="0" xfId="1" applyFont="1"/>
    <xf numFmtId="2" fontId="2" fillId="0" borderId="0" xfId="0" applyNumberFormat="1" applyFont="1"/>
    <xf numFmtId="0" fontId="1" fillId="0" borderId="0" xfId="0" applyFont="1" applyAlignment="1">
      <alignment horizontal="right" vertical="center"/>
    </xf>
    <xf numFmtId="9" fontId="2" fillId="0" borderId="0" xfId="1" applyFont="1" applyAlignment="1">
      <alignment horizontal="right" vertical="center"/>
    </xf>
    <xf numFmtId="0" fontId="6" fillId="0" borderId="0" xfId="0" applyFont="1"/>
    <xf numFmtId="0" fontId="7" fillId="2" borderId="0" xfId="0" applyFont="1" applyFill="1"/>
    <xf numFmtId="0" fontId="10" fillId="3" borderId="0" xfId="0" applyFont="1" applyFill="1" applyBorder="1" applyAlignment="1">
      <alignment horizontal="center" vertical="center"/>
    </xf>
    <xf numFmtId="0" fontId="7" fillId="4" borderId="0" xfId="0" applyFont="1" applyFill="1"/>
    <xf numFmtId="0" fontId="13" fillId="4" borderId="0" xfId="0" applyFont="1" applyFill="1" applyBorder="1" applyAlignment="1">
      <alignment horizontal="center"/>
    </xf>
    <xf numFmtId="0" fontId="14" fillId="4" borderId="0" xfId="0" applyFont="1" applyFill="1" applyBorder="1"/>
    <xf numFmtId="0" fontId="8" fillId="4" borderId="0" xfId="0" applyFont="1" applyFill="1" applyBorder="1"/>
    <xf numFmtId="173" fontId="12" fillId="4" borderId="0" xfId="0" applyNumberFormat="1" applyFont="1" applyFill="1" applyBorder="1" applyAlignment="1">
      <alignment horizontal="left" vertical="center"/>
    </xf>
    <xf numFmtId="1" fontId="8" fillId="4" borderId="0" xfId="0" applyNumberFormat="1" applyFont="1" applyFill="1" applyBorder="1"/>
    <xf numFmtId="1" fontId="7" fillId="4" borderId="0" xfId="0" applyNumberFormat="1" applyFont="1" applyFill="1"/>
    <xf numFmtId="0" fontId="8" fillId="4" borderId="2" xfId="0" applyFont="1" applyFill="1" applyBorder="1"/>
    <xf numFmtId="0" fontId="8" fillId="4" borderId="3" xfId="0" applyFont="1" applyFill="1" applyBorder="1"/>
    <xf numFmtId="0" fontId="8" fillId="4" borderId="4" xfId="0" applyFont="1" applyFill="1" applyBorder="1"/>
    <xf numFmtId="0" fontId="8" fillId="4" borderId="5" xfId="0" applyFont="1" applyFill="1" applyBorder="1"/>
    <xf numFmtId="0" fontId="8" fillId="4" borderId="6" xfId="0" applyFont="1" applyFill="1" applyBorder="1"/>
    <xf numFmtId="0" fontId="8" fillId="4" borderId="7" xfId="0" applyFont="1" applyFill="1" applyBorder="1"/>
    <xf numFmtId="0" fontId="8" fillId="4" borderId="8" xfId="0" applyFont="1" applyFill="1" applyBorder="1"/>
    <xf numFmtId="1" fontId="8" fillId="4" borderId="8" xfId="0" applyNumberFormat="1" applyFont="1" applyFill="1" applyBorder="1"/>
    <xf numFmtId="0" fontId="8" fillId="4" borderId="9" xfId="0" applyFont="1" applyFill="1" applyBorder="1"/>
    <xf numFmtId="0" fontId="10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0" fillId="3" borderId="10" xfId="0" applyFont="1" applyFill="1" applyBorder="1" applyAlignment="1">
      <alignment horizontal="center" vertical="center"/>
    </xf>
    <xf numFmtId="173" fontId="12" fillId="4" borderId="10" xfId="0" applyNumberFormat="1" applyFont="1" applyFill="1" applyBorder="1" applyAlignment="1">
      <alignment horizontal="left" vertical="center"/>
    </xf>
    <xf numFmtId="0" fontId="11" fillId="4" borderId="11" xfId="0" applyFont="1" applyFill="1" applyBorder="1" applyAlignment="1">
      <alignment vertical="center"/>
    </xf>
    <xf numFmtId="0" fontId="15" fillId="4" borderId="12" xfId="0" applyFont="1" applyFill="1" applyBorder="1" applyAlignment="1">
      <alignment vertical="center"/>
    </xf>
    <xf numFmtId="0" fontId="16" fillId="4" borderId="0" xfId="0" applyFont="1" applyFill="1" applyBorder="1" applyAlignment="1">
      <alignment horizontal="center"/>
    </xf>
    <xf numFmtId="3" fontId="9" fillId="4" borderId="0" xfId="0" applyNumberFormat="1" applyFont="1" applyFill="1" applyBorder="1"/>
    <xf numFmtId="3" fontId="9" fillId="4" borderId="0" xfId="0" applyNumberFormat="1" applyFont="1" applyFill="1" applyBorder="1" applyAlignment="1">
      <alignment horizontal="left"/>
    </xf>
    <xf numFmtId="3" fontId="9" fillId="4" borderId="0" xfId="0" applyNumberFormat="1" applyFont="1" applyFill="1" applyBorder="1" applyAlignment="1">
      <alignment horizontal="right"/>
    </xf>
    <xf numFmtId="3" fontId="9" fillId="4" borderId="0" xfId="0" applyNumberFormat="1" applyFont="1" applyFill="1" applyBorder="1" applyAlignment="1">
      <alignment horizontal="left" vertical="center"/>
    </xf>
  </cellXfs>
  <cellStyles count="2">
    <cellStyle name="Normal" xfId="0" builtinId="0"/>
    <cellStyle name="Per cent" xfId="1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" formatCode="0"/>
      <fill>
        <patternFill patternType="none">
          <fgColor indexed="64"/>
          <bgColor rgb="FF15151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2"/>
        </left>
        <right style="thin">
          <color theme="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" formatCode="0"/>
      <fill>
        <patternFill patternType="none">
          <fgColor indexed="64"/>
          <bgColor rgb="FF15151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2"/>
        </left>
        <right style="thin">
          <color theme="2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rgb="FF15151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" formatCode="0"/>
      <fill>
        <patternFill patternType="none">
          <fgColor indexed="64"/>
          <bgColor rgb="FF151515"/>
        </patternFill>
      </fill>
      <alignment horizontal="left" vertical="center" textRotation="0" wrapText="0" indent="0" justifyLastLine="0" shrinkToFit="0" readingOrder="0"/>
    </dxf>
    <dxf>
      <border diagonalUp="0" diagonalDown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rgb="FF15151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00000"/>
      <color rgb="FF151515"/>
      <color rgb="FF1C1C1C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'IS Forecast'!$A$2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55000">
                  <a:srgbClr val="C00000"/>
                </a:gs>
                <a:gs pos="0">
                  <a:schemeClr val="bg1">
                    <a:lumMod val="85000"/>
                  </a:schemeClr>
                </a:gs>
                <a:gs pos="0">
                  <a:schemeClr val="bg1">
                    <a:lumMod val="85000"/>
                  </a:schemeClr>
                </a:gs>
              </a:gsLst>
              <a:lin ang="27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'IS Forecast'!$B$1:$G$1</c:f>
              <c:strCache>
                <c:ptCount val="3"/>
                <c:pt idx="0">
                  <c:v>2025F</c:v>
                </c:pt>
                <c:pt idx="1">
                  <c:v>2026F</c:v>
                </c:pt>
                <c:pt idx="2">
                  <c:v>2027F</c:v>
                </c:pt>
              </c:strCache>
            </c:strRef>
          </c:cat>
          <c:val>
            <c:numRef>
              <c:f>'IS Forecast'!$B$2:$G$2</c:f>
              <c:numCache>
                <c:formatCode>0</c:formatCode>
                <c:ptCount val="3"/>
                <c:pt idx="0">
                  <c:v>69049.240000000005</c:v>
                </c:pt>
                <c:pt idx="1">
                  <c:v>73192.194400000008</c:v>
                </c:pt>
                <c:pt idx="2">
                  <c:v>76851.804120000015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3A-DA4F-9922-E7CA0C18AA4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47"/>
        <c:axId val="691859263"/>
        <c:axId val="719999807"/>
      </c:barChart>
      <c:lineChart>
        <c:grouping val="standard"/>
        <c:varyColors val="0"/>
        <c:ser>
          <c:idx val="1"/>
          <c:order val="1"/>
          <c:tx>
            <c:strRef>
              <c:f>'IS Forecast'!$A$8</c:f>
              <c:strCache>
                <c:ptCount val="1"/>
                <c:pt idx="0">
                  <c:v>EBIT</c:v>
                </c:pt>
              </c:strCache>
            </c:strRef>
          </c:tx>
          <c:spPr>
            <a:ln w="34925" cap="rnd">
              <a:solidFill>
                <a:srgbClr val="0070C0">
                  <a:alpha val="70000"/>
                </a:srgb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'IS Forecast'!$B$1:$G$1</c:f>
              <c:strCache>
                <c:ptCount val="3"/>
                <c:pt idx="0">
                  <c:v>2025F</c:v>
                </c:pt>
                <c:pt idx="1">
                  <c:v>2026F</c:v>
                </c:pt>
                <c:pt idx="2">
                  <c:v>2027F</c:v>
                </c:pt>
              </c:strCache>
            </c:strRef>
          </c:cat>
          <c:val>
            <c:numRef>
              <c:f>'IS Forecast'!$B$8:$G$8</c:f>
              <c:numCache>
                <c:formatCode>0</c:formatCode>
                <c:ptCount val="3"/>
                <c:pt idx="0">
                  <c:v>5523.9392000000043</c:v>
                </c:pt>
                <c:pt idx="1">
                  <c:v>6587.2974960000056</c:v>
                </c:pt>
                <c:pt idx="2">
                  <c:v>8453.6984532000042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3A-DA4F-9922-E7CA0C18AA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1859263"/>
        <c:axId val="719999807"/>
      </c:lineChart>
      <c:catAx>
        <c:axId val="691859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719999807"/>
        <c:crosses val="autoZero"/>
        <c:auto val="1"/>
        <c:lblAlgn val="ctr"/>
        <c:lblOffset val="100"/>
        <c:noMultiLvlLbl val="0"/>
      </c:catAx>
      <c:valAx>
        <c:axId val="719999807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9185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bg1"/>
              </a:solidFill>
              <a:latin typeface="Proxima Nova" panose="02000506030000020004" pitchFamily="2" charset="0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none" spc="20" baseline="0">
                <a:solidFill>
                  <a:schemeClr val="bg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GB" sz="1050" b="1">
                <a:solidFill>
                  <a:schemeClr val="bg1"/>
                </a:solidFill>
                <a:latin typeface="Century Gothic" panose="020B0502020202020204" pitchFamily="34" charset="0"/>
              </a:rPr>
              <a:t>Free Cash Flow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none" spc="20" baseline="0">
              <a:solidFill>
                <a:schemeClr val="bg1"/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 cmpd="sng" algn="ctr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DCF!$E$1:$G$1</c:f>
              <c:strCache>
                <c:ptCount val="3"/>
                <c:pt idx="0">
                  <c:v>2025F</c:v>
                </c:pt>
                <c:pt idx="1">
                  <c:v>2026F</c:v>
                </c:pt>
                <c:pt idx="2">
                  <c:v>2027F</c:v>
                </c:pt>
              </c:strCache>
            </c:strRef>
          </c:cat>
          <c:val>
            <c:numRef>
              <c:f>DCF!$E$8:$G$8</c:f>
              <c:numCache>
                <c:formatCode>0</c:formatCode>
                <c:ptCount val="3"/>
                <c:pt idx="0">
                  <c:v>11156.037680000003</c:v>
                </c:pt>
                <c:pt idx="1">
                  <c:v>11151.274668320006</c:v>
                </c:pt>
                <c:pt idx="2">
                  <c:v>12937.032216120002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18D-AB41-B96F-113F7C497FA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rnd" cmpd="sng" algn="ctr">
              <a:noFill/>
              <a:round/>
            </a:ln>
            <a:effectLst/>
          </c:spPr>
        </c:dropLines>
        <c:smooth val="0"/>
        <c:axId val="633327103"/>
        <c:axId val="633327551"/>
      </c:lineChart>
      <c:catAx>
        <c:axId val="63332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33327551"/>
        <c:crosses val="autoZero"/>
        <c:auto val="1"/>
        <c:lblAlgn val="ctr"/>
        <c:lblOffset val="100"/>
        <c:noMultiLvlLbl val="0"/>
      </c:catAx>
      <c:valAx>
        <c:axId val="633327551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33327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254000</xdr:colOff>
      <xdr:row>7</xdr:row>
      <xdr:rowOff>139700</xdr:rowOff>
    </xdr:from>
    <xdr:to>
      <xdr:col>3</xdr:col>
      <xdr:colOff>558800</xdr:colOff>
      <xdr:row>14</xdr:row>
      <xdr:rowOff>165100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95D1D65A-CA2A-1398-4BD6-D4808392A4F6}"/>
            </a:ext>
          </a:extLst>
        </xdr:cNvPr>
        <xdr:cNvSpPr/>
      </xdr:nvSpPr>
      <xdr:spPr>
        <a:xfrm>
          <a:off x="1079500" y="1358900"/>
          <a:ext cx="1574800" cy="1447800"/>
        </a:xfrm>
        <a:prstGeom prst="ellipse">
          <a:avLst/>
        </a:prstGeom>
        <a:noFill/>
        <a:ln w="31750">
          <a:gradFill flip="none" rotWithShape="1">
            <a:gsLst>
              <a:gs pos="27000">
                <a:schemeClr val="bg1">
                  <a:lumMod val="95000"/>
                </a:schemeClr>
              </a:gs>
              <a:gs pos="70000">
                <a:schemeClr val="bg1">
                  <a:lumMod val="85000"/>
                </a:schemeClr>
              </a:gs>
              <a:gs pos="32000">
                <a:schemeClr val="bg1">
                  <a:lumMod val="85000"/>
                </a:schemeClr>
              </a:gs>
            </a:gsLst>
            <a:lin ang="2700000" scaled="1"/>
            <a:tileRect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228600</xdr:colOff>
      <xdr:row>7</xdr:row>
      <xdr:rowOff>127000</xdr:rowOff>
    </xdr:from>
    <xdr:to>
      <xdr:col>5</xdr:col>
      <xdr:colOff>152400</xdr:colOff>
      <xdr:row>14</xdr:row>
      <xdr:rowOff>152400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6055362-82A6-8A48-AD94-5B979D427285}"/>
            </a:ext>
          </a:extLst>
        </xdr:cNvPr>
        <xdr:cNvSpPr/>
      </xdr:nvSpPr>
      <xdr:spPr>
        <a:xfrm>
          <a:off x="2324100" y="1346200"/>
          <a:ext cx="1574800" cy="1447800"/>
        </a:xfrm>
        <a:prstGeom prst="ellipse">
          <a:avLst/>
        </a:prstGeom>
        <a:noFill/>
        <a:ln w="31750">
          <a:gradFill flip="none" rotWithShape="1">
            <a:gsLst>
              <a:gs pos="27000">
                <a:schemeClr val="bg1">
                  <a:lumMod val="95000"/>
                </a:schemeClr>
              </a:gs>
              <a:gs pos="70000">
                <a:schemeClr val="bg1">
                  <a:lumMod val="85000"/>
                </a:schemeClr>
              </a:gs>
              <a:gs pos="32000">
                <a:schemeClr val="bg1">
                  <a:lumMod val="85000"/>
                </a:schemeClr>
              </a:gs>
            </a:gsLst>
            <a:lin ang="2700000" scaled="1"/>
            <a:tileRect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635000</xdr:colOff>
      <xdr:row>7</xdr:row>
      <xdr:rowOff>156633</xdr:rowOff>
    </xdr:from>
    <xdr:to>
      <xdr:col>6</xdr:col>
      <xdr:colOff>558800</xdr:colOff>
      <xdr:row>14</xdr:row>
      <xdr:rowOff>182033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D5C22536-77E3-7B45-8736-C112EA9B08C0}"/>
            </a:ext>
          </a:extLst>
        </xdr:cNvPr>
        <xdr:cNvSpPr/>
      </xdr:nvSpPr>
      <xdr:spPr>
        <a:xfrm>
          <a:off x="3920067" y="1782233"/>
          <a:ext cx="1583266" cy="1447800"/>
        </a:xfrm>
        <a:prstGeom prst="ellipse">
          <a:avLst/>
        </a:prstGeom>
        <a:noFill/>
        <a:ln w="31750">
          <a:gradFill flip="none" rotWithShape="1">
            <a:gsLst>
              <a:gs pos="27000">
                <a:schemeClr val="bg1">
                  <a:lumMod val="95000"/>
                </a:schemeClr>
              </a:gs>
              <a:gs pos="70000">
                <a:schemeClr val="bg1">
                  <a:lumMod val="85000"/>
                </a:schemeClr>
              </a:gs>
              <a:gs pos="32000">
                <a:schemeClr val="bg1">
                  <a:lumMod val="85000"/>
                </a:schemeClr>
              </a:gs>
            </a:gsLst>
            <a:lin ang="2700000" scaled="1"/>
            <a:tileRect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6</xdr:col>
      <xdr:colOff>296333</xdr:colOff>
      <xdr:row>7</xdr:row>
      <xdr:rowOff>135467</xdr:rowOff>
    </xdr:from>
    <xdr:to>
      <xdr:col>7</xdr:col>
      <xdr:colOff>1092199</xdr:colOff>
      <xdr:row>14</xdr:row>
      <xdr:rowOff>160867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12BE3B2B-2FE5-D345-9608-17896218FA14}"/>
            </a:ext>
          </a:extLst>
        </xdr:cNvPr>
        <xdr:cNvSpPr/>
      </xdr:nvSpPr>
      <xdr:spPr>
        <a:xfrm>
          <a:off x="5240866" y="1761067"/>
          <a:ext cx="1625600" cy="1447800"/>
        </a:xfrm>
        <a:prstGeom prst="ellipse">
          <a:avLst/>
        </a:prstGeom>
        <a:noFill/>
        <a:ln w="31750">
          <a:gradFill flip="none" rotWithShape="1">
            <a:gsLst>
              <a:gs pos="27000">
                <a:schemeClr val="bg1">
                  <a:lumMod val="95000"/>
                </a:schemeClr>
              </a:gs>
              <a:gs pos="70000">
                <a:schemeClr val="bg1">
                  <a:lumMod val="85000"/>
                </a:schemeClr>
              </a:gs>
              <a:gs pos="32000">
                <a:schemeClr val="bg1">
                  <a:lumMod val="85000"/>
                </a:schemeClr>
              </a:gs>
            </a:gsLst>
            <a:lin ang="2700000" scaled="1"/>
            <a:tileRect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</xdr:col>
      <xdr:colOff>622300</xdr:colOff>
      <xdr:row>8</xdr:row>
      <xdr:rowOff>76200</xdr:rowOff>
    </xdr:from>
    <xdr:to>
      <xdr:col>3</xdr:col>
      <xdr:colOff>177800</xdr:colOff>
      <xdr:row>11</xdr:row>
      <xdr:rowOff>12700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504AFC8-8D4B-60B6-26FB-5C692D0FA382}"/>
            </a:ext>
          </a:extLst>
        </xdr:cNvPr>
        <xdr:cNvSpPr txBox="1"/>
      </xdr:nvSpPr>
      <xdr:spPr>
        <a:xfrm>
          <a:off x="1447800" y="1498600"/>
          <a:ext cx="825500" cy="54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0">
              <a:solidFill>
                <a:srgbClr val="FF0000"/>
              </a:solidFill>
              <a:latin typeface="Proxima Nova" panose="02000506030000020004" pitchFamily="2" charset="0"/>
            </a:rPr>
            <a:t>2027</a:t>
          </a:r>
        </a:p>
        <a:p>
          <a:pPr algn="ctr"/>
          <a:r>
            <a:rPr lang="en-GB" sz="1100" b="1">
              <a:solidFill>
                <a:srgbClr val="FF0000"/>
              </a:solidFill>
              <a:latin typeface="Proxima Nova" panose="02000506030000020004" pitchFamily="2" charset="0"/>
            </a:rPr>
            <a:t>REVENUE</a:t>
          </a:r>
        </a:p>
      </xdr:txBody>
    </xdr:sp>
    <xdr:clientData/>
  </xdr:twoCellAnchor>
  <xdr:twoCellAnchor>
    <xdr:from>
      <xdr:col>3</xdr:col>
      <xdr:colOff>584200</xdr:colOff>
      <xdr:row>8</xdr:row>
      <xdr:rowOff>76200</xdr:rowOff>
    </xdr:from>
    <xdr:to>
      <xdr:col>4</xdr:col>
      <xdr:colOff>584200</xdr:colOff>
      <xdr:row>11</xdr:row>
      <xdr:rowOff>12700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AFA6910-751C-2E45-A109-0A69A3C57EBB}"/>
            </a:ext>
          </a:extLst>
        </xdr:cNvPr>
        <xdr:cNvSpPr txBox="1"/>
      </xdr:nvSpPr>
      <xdr:spPr>
        <a:xfrm>
          <a:off x="2679700" y="1498600"/>
          <a:ext cx="825500" cy="54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0">
              <a:solidFill>
                <a:srgbClr val="FF0000"/>
              </a:solidFill>
              <a:latin typeface="Proxima Nova" panose="02000506030000020004" pitchFamily="2" charset="0"/>
            </a:rPr>
            <a:t>2027</a:t>
          </a:r>
        </a:p>
        <a:p>
          <a:pPr algn="ctr"/>
          <a:r>
            <a:rPr lang="en-GB" sz="1100" b="1">
              <a:solidFill>
                <a:srgbClr val="FF0000"/>
              </a:solidFill>
              <a:latin typeface="Proxima Nova" panose="02000506030000020004" pitchFamily="2" charset="0"/>
            </a:rPr>
            <a:t>EBIT</a:t>
          </a:r>
        </a:p>
      </xdr:txBody>
    </xdr:sp>
    <xdr:clientData/>
  </xdr:twoCellAnchor>
  <xdr:twoCellAnchor>
    <xdr:from>
      <xdr:col>5</xdr:col>
      <xdr:colOff>177800</xdr:colOff>
      <xdr:row>8</xdr:row>
      <xdr:rowOff>76200</xdr:rowOff>
    </xdr:from>
    <xdr:to>
      <xdr:col>6</xdr:col>
      <xdr:colOff>177800</xdr:colOff>
      <xdr:row>11</xdr:row>
      <xdr:rowOff>12700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DD9FD46-6055-9445-AA6F-73B018B3A6D1}"/>
            </a:ext>
          </a:extLst>
        </xdr:cNvPr>
        <xdr:cNvSpPr txBox="1"/>
      </xdr:nvSpPr>
      <xdr:spPr>
        <a:xfrm>
          <a:off x="4292600" y="1905000"/>
          <a:ext cx="829733" cy="54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0">
              <a:solidFill>
                <a:srgbClr val="FF0000"/>
              </a:solidFill>
              <a:latin typeface="Proxima Nova" panose="02000506030000020004" pitchFamily="2" charset="0"/>
            </a:rPr>
            <a:t>2027</a:t>
          </a:r>
        </a:p>
        <a:p>
          <a:pPr algn="ctr"/>
          <a:r>
            <a:rPr lang="en-GB" sz="1100" b="1">
              <a:solidFill>
                <a:srgbClr val="FF0000"/>
              </a:solidFill>
              <a:latin typeface="Proxima Nova" panose="02000506030000020004" pitchFamily="2" charset="0"/>
            </a:rPr>
            <a:t>FCF</a:t>
          </a:r>
        </a:p>
      </xdr:txBody>
    </xdr:sp>
    <xdr:clientData/>
  </xdr:twoCellAnchor>
  <xdr:twoCellAnchor>
    <xdr:from>
      <xdr:col>6</xdr:col>
      <xdr:colOff>711200</xdr:colOff>
      <xdr:row>8</xdr:row>
      <xdr:rowOff>88900</xdr:rowOff>
    </xdr:from>
    <xdr:to>
      <xdr:col>7</xdr:col>
      <xdr:colOff>711200</xdr:colOff>
      <xdr:row>11</xdr:row>
      <xdr:rowOff>25400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96D9EB6-1F95-3041-998C-AE1A0E86A2D8}"/>
            </a:ext>
          </a:extLst>
        </xdr:cNvPr>
        <xdr:cNvSpPr txBox="1"/>
      </xdr:nvSpPr>
      <xdr:spPr>
        <a:xfrm>
          <a:off x="5655733" y="1917700"/>
          <a:ext cx="829734" cy="54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050" b="1">
              <a:solidFill>
                <a:srgbClr val="FF0000"/>
              </a:solidFill>
              <a:latin typeface="Proxima Nova" panose="02000506030000020004" pitchFamily="2" charset="0"/>
            </a:rPr>
            <a:t>Enterprise</a:t>
          </a:r>
        </a:p>
        <a:p>
          <a:pPr algn="ctr"/>
          <a:r>
            <a:rPr lang="en-GB" sz="1050" b="1">
              <a:solidFill>
                <a:srgbClr val="FF0000"/>
              </a:solidFill>
              <a:latin typeface="Proxima Nova" panose="02000506030000020004" pitchFamily="2" charset="0"/>
            </a:rPr>
            <a:t>Value</a:t>
          </a:r>
        </a:p>
      </xdr:txBody>
    </xdr:sp>
    <xdr:clientData/>
  </xdr:twoCellAnchor>
  <xdr:twoCellAnchor>
    <xdr:from>
      <xdr:col>2</xdr:col>
      <xdr:colOff>0</xdr:colOff>
      <xdr:row>17</xdr:row>
      <xdr:rowOff>0</xdr:rowOff>
    </xdr:from>
    <xdr:to>
      <xdr:col>8</xdr:col>
      <xdr:colOff>787400</xdr:colOff>
      <xdr:row>32</xdr:row>
      <xdr:rowOff>165100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4C0F203-FBB8-A04E-8FF0-B322779D01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406400</xdr:colOff>
      <xdr:row>16</xdr:row>
      <xdr:rowOff>177800</xdr:rowOff>
    </xdr:from>
    <xdr:to>
      <xdr:col>15</xdr:col>
      <xdr:colOff>812800</xdr:colOff>
      <xdr:row>33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BBEEAFC-FF8E-0840-8CF3-F44D09DC62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241300</xdr:colOff>
      <xdr:row>6</xdr:row>
      <xdr:rowOff>190499</xdr:rowOff>
    </xdr:from>
    <xdr:to>
      <xdr:col>14</xdr:col>
      <xdr:colOff>787400</xdr:colOff>
      <xdr:row>15</xdr:row>
      <xdr:rowOff>63500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B567FBA-E58B-9ED3-BF13-7B137321C710}"/>
            </a:ext>
          </a:extLst>
        </xdr:cNvPr>
        <xdr:cNvSpPr txBox="1"/>
      </xdr:nvSpPr>
      <xdr:spPr>
        <a:xfrm>
          <a:off x="9439179" y="1633681"/>
          <a:ext cx="4009736" cy="1778001"/>
        </a:xfrm>
        <a:prstGeom prst="flowChartDocumen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>
              <a:solidFill>
                <a:srgbClr val="FF0000"/>
              </a:solidFill>
              <a:latin typeface="Calibri" panose="020F0502020204030204" pitchFamily="34" charset="0"/>
              <a:cs typeface="Calibri" panose="020F0502020204030204" pitchFamily="34" charset="0"/>
            </a:rPr>
            <a:t>Key Insights</a:t>
          </a:r>
          <a:endParaRPr lang="en-GB" sz="1200">
            <a:solidFill>
              <a:srgbClr val="FF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Revenue grows from </a:t>
          </a:r>
          <a:r>
            <a:rPr lang="en-GB" sz="12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€67.8bn → €72.6bn</a:t>
          </a:r>
          <a:r>
            <a:rPr lang="en-GB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by 2027F</a:t>
          </a:r>
        </a:p>
        <a:p>
          <a:r>
            <a:rPr lang="en-GB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EBIT margin improves from </a:t>
          </a:r>
          <a:r>
            <a:rPr lang="en-GB" sz="12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6.0% → 10.0%</a:t>
          </a:r>
          <a:r>
            <a:rPr lang="en-GB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in Bull case</a:t>
          </a:r>
        </a:p>
        <a:p>
          <a:r>
            <a:rPr lang="en-GB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Free cash flow strong at </a:t>
          </a:r>
          <a:r>
            <a:rPr lang="en-GB" sz="12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€12bn+</a:t>
          </a:r>
          <a:r>
            <a:rPr lang="en-GB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in 2027F</a:t>
          </a:r>
        </a:p>
        <a:p>
          <a:r>
            <a:rPr lang="en-GB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Enterprise value ranges </a:t>
          </a:r>
          <a:r>
            <a:rPr lang="en-GB" sz="12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€170B–€215B</a:t>
          </a:r>
          <a:r>
            <a:rPr lang="en-GB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across scenarios</a:t>
          </a:r>
        </a:p>
        <a:p>
          <a:r>
            <a:rPr lang="en-GB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Valuation most sensitive to </a:t>
          </a:r>
          <a:r>
            <a:rPr lang="en-GB" sz="12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WACC</a:t>
          </a:r>
          <a:r>
            <a:rPr lang="en-GB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and </a:t>
          </a:r>
          <a:r>
            <a:rPr lang="en-GB" sz="12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COGS %</a:t>
          </a:r>
          <a:r>
            <a:rPr lang="en-GB" sz="120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assumptions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D28E251-6CEB-C042-BE5A-736E4A7352C8}" name="Table7" displayName="Table7" ref="H37:K41" totalsRowShown="0" headerRowDxfId="5" dataDxfId="6" tableBorderDxfId="4">
  <tableColumns count="4">
    <tableColumn id="1" xr3:uid="{95E7D4B1-5DDE-E746-9D6D-1994B4542C45}" name="Metric" dataDxfId="2"/>
    <tableColumn id="3" xr3:uid="{CEE76094-22BA-2A4E-B602-163DC9CD02D8}" name="Base" dataDxfId="1"/>
    <tableColumn id="4" xr3:uid="{87471F7D-1742-6840-BDC9-1A22A630B284}" name="Bull" dataDxfId="0"/>
    <tableColumn id="5" xr3:uid="{D2226719-E161-8544-96ED-2D0F16C71E32}" name="Bear" dataDxfId="3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F3E87-AE94-D64A-8BDB-4AA9DF7737EA}">
  <sheetPr>
    <tabColor theme="1"/>
  </sheetPr>
  <dimension ref="A1:U47"/>
  <sheetViews>
    <sheetView tabSelected="1" topLeftCell="C1" zoomScale="90" workbookViewId="0">
      <selection activeCell="W26" sqref="W26"/>
    </sheetView>
  </sheetViews>
  <sheetFormatPr baseColWidth="10" defaultRowHeight="16" x14ac:dyDescent="0.2"/>
  <cols>
    <col min="1" max="1" width="4.6640625" style="14" customWidth="1"/>
    <col min="2" max="2" width="10.83203125" style="14"/>
    <col min="3" max="3" width="16.6640625" style="14" bestFit="1" customWidth="1"/>
    <col min="4" max="5" width="10.83203125" style="14"/>
    <col min="6" max="6" width="10.83203125" style="14" customWidth="1"/>
    <col min="7" max="7" width="10.83203125" style="14"/>
    <col min="8" max="8" width="15.1640625" style="14" bestFit="1" customWidth="1"/>
    <col min="9" max="11" width="14.33203125" style="14" customWidth="1"/>
    <col min="12" max="16384" width="10.83203125" style="14"/>
  </cols>
  <sheetData>
    <row r="1" spans="1:21" ht="17" thickBot="1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21" x14ac:dyDescent="0.2">
      <c r="A2" s="16"/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5"/>
      <c r="R2" s="16"/>
      <c r="S2" s="16"/>
    </row>
    <row r="3" spans="1:21" ht="25" x14ac:dyDescent="0.25">
      <c r="A3" s="16"/>
      <c r="B3" s="26"/>
      <c r="C3" s="38" t="s">
        <v>97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27"/>
      <c r="R3" s="16"/>
      <c r="S3" s="16"/>
    </row>
    <row r="4" spans="1:21" ht="21" x14ac:dyDescent="0.25">
      <c r="A4" s="16"/>
      <c r="B4" s="26"/>
      <c r="C4" s="17" t="s">
        <v>96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27"/>
      <c r="R4" s="16"/>
      <c r="S4" s="16"/>
    </row>
    <row r="5" spans="1:21" x14ac:dyDescent="0.2">
      <c r="A5" s="16"/>
      <c r="B5" s="26"/>
      <c r="C5" s="18"/>
      <c r="D5" s="18"/>
      <c r="E5" s="18"/>
      <c r="F5" s="18"/>
      <c r="G5" s="18"/>
      <c r="H5" s="19"/>
      <c r="I5" s="19"/>
      <c r="J5" s="19"/>
      <c r="K5" s="19"/>
      <c r="L5" s="19"/>
      <c r="M5" s="19"/>
      <c r="N5" s="19"/>
      <c r="O5" s="19"/>
      <c r="P5" s="19"/>
      <c r="Q5" s="27"/>
      <c r="R5" s="16"/>
      <c r="S5" s="16"/>
    </row>
    <row r="6" spans="1:21" ht="24" customHeight="1" x14ac:dyDescent="0.2">
      <c r="A6" s="16"/>
      <c r="B6" s="26"/>
      <c r="C6" s="36" t="s">
        <v>103</v>
      </c>
      <c r="D6" s="37" t="str">
        <f>Drivers!G1</f>
        <v>Bull</v>
      </c>
      <c r="E6" s="18"/>
      <c r="F6" s="18"/>
      <c r="G6" s="18"/>
      <c r="H6" s="19"/>
      <c r="I6" s="19"/>
      <c r="J6" s="19"/>
      <c r="K6" s="19"/>
      <c r="L6" s="19"/>
      <c r="M6" s="19"/>
      <c r="N6" s="19"/>
      <c r="O6" s="19"/>
      <c r="P6" s="19"/>
      <c r="Q6" s="27"/>
      <c r="R6" s="16"/>
      <c r="S6" s="16"/>
    </row>
    <row r="7" spans="1:21" x14ac:dyDescent="0.2">
      <c r="A7" s="16"/>
      <c r="B7" s="26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27"/>
      <c r="R7" s="16"/>
      <c r="S7" s="16"/>
    </row>
    <row r="8" spans="1:21" x14ac:dyDescent="0.2">
      <c r="A8" s="16"/>
      <c r="B8" s="26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27"/>
      <c r="R8" s="16"/>
      <c r="S8" s="16"/>
    </row>
    <row r="9" spans="1:21" x14ac:dyDescent="0.2">
      <c r="A9" s="16"/>
      <c r="B9" s="26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27"/>
      <c r="R9" s="16"/>
      <c r="S9" s="16"/>
    </row>
    <row r="10" spans="1:21" x14ac:dyDescent="0.2">
      <c r="A10" s="16"/>
      <c r="B10" s="26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27"/>
      <c r="R10" s="16"/>
      <c r="S10" s="16"/>
    </row>
    <row r="11" spans="1:21" x14ac:dyDescent="0.2">
      <c r="A11" s="16"/>
      <c r="B11" s="26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27"/>
      <c r="R11" s="16"/>
      <c r="S11" s="16"/>
    </row>
    <row r="12" spans="1:21" x14ac:dyDescent="0.2">
      <c r="A12" s="16"/>
      <c r="B12" s="26"/>
      <c r="C12" s="39">
        <f>'IS Forecast'!G2</f>
        <v>76851.804120000015</v>
      </c>
      <c r="D12" s="39"/>
      <c r="E12" s="40">
        <f>'IS Forecast'!G8</f>
        <v>8453.6984532000042</v>
      </c>
      <c r="F12" s="41">
        <f>DCF!G8</f>
        <v>12937.032216120002</v>
      </c>
      <c r="G12" s="40"/>
      <c r="H12" s="42">
        <f>DCF!G14</f>
        <v>246160.25793372348</v>
      </c>
      <c r="I12" s="19"/>
      <c r="J12" s="19"/>
      <c r="K12" s="19"/>
      <c r="L12" s="19"/>
      <c r="M12" s="19"/>
      <c r="N12" s="19"/>
      <c r="O12" s="19"/>
      <c r="P12" s="19"/>
      <c r="Q12" s="27"/>
      <c r="R12" s="16"/>
      <c r="S12" s="16"/>
    </row>
    <row r="13" spans="1:21" x14ac:dyDescent="0.2">
      <c r="A13" s="16"/>
      <c r="B13" s="26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27"/>
      <c r="R13" s="16"/>
      <c r="S13" s="16"/>
    </row>
    <row r="14" spans="1:21" x14ac:dyDescent="0.2">
      <c r="A14" s="16"/>
      <c r="B14" s="26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27"/>
      <c r="R14" s="16"/>
      <c r="S14" s="16"/>
    </row>
    <row r="15" spans="1:21" x14ac:dyDescent="0.2">
      <c r="A15" s="16"/>
      <c r="B15" s="26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27"/>
      <c r="R15" s="16"/>
      <c r="S15" s="16"/>
    </row>
    <row r="16" spans="1:21" x14ac:dyDescent="0.2">
      <c r="A16" s="16"/>
      <c r="B16" s="26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27"/>
      <c r="R16" s="16"/>
      <c r="S16" s="16"/>
      <c r="U16" s="14" t="s">
        <v>104</v>
      </c>
    </row>
    <row r="17" spans="1:19" x14ac:dyDescent="0.2">
      <c r="A17" s="16"/>
      <c r="B17" s="26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27"/>
      <c r="R17" s="16"/>
      <c r="S17" s="16"/>
    </row>
    <row r="18" spans="1:19" x14ac:dyDescent="0.2">
      <c r="A18" s="16"/>
      <c r="B18" s="26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7"/>
      <c r="R18" s="16"/>
      <c r="S18" s="16"/>
    </row>
    <row r="19" spans="1:19" x14ac:dyDescent="0.2">
      <c r="A19" s="16"/>
      <c r="B19" s="26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27"/>
      <c r="R19" s="16"/>
      <c r="S19" s="16"/>
    </row>
    <row r="20" spans="1:19" x14ac:dyDescent="0.2">
      <c r="A20" s="16"/>
      <c r="B20" s="26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27"/>
      <c r="R20" s="16"/>
      <c r="S20" s="16"/>
    </row>
    <row r="21" spans="1:19" x14ac:dyDescent="0.2">
      <c r="A21" s="16"/>
      <c r="B21" s="26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27"/>
      <c r="R21" s="16"/>
      <c r="S21" s="16"/>
    </row>
    <row r="22" spans="1:19" x14ac:dyDescent="0.2">
      <c r="A22" s="16"/>
      <c r="B22" s="26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27"/>
      <c r="R22" s="16"/>
      <c r="S22" s="16"/>
    </row>
    <row r="23" spans="1:19" x14ac:dyDescent="0.2">
      <c r="A23" s="16"/>
      <c r="B23" s="26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7"/>
      <c r="R23" s="16"/>
      <c r="S23" s="16"/>
    </row>
    <row r="24" spans="1:19" x14ac:dyDescent="0.2">
      <c r="A24" s="16"/>
      <c r="B24" s="26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27"/>
      <c r="R24" s="16"/>
      <c r="S24" s="16"/>
    </row>
    <row r="25" spans="1:19" x14ac:dyDescent="0.2">
      <c r="A25" s="16"/>
      <c r="B25" s="26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27"/>
      <c r="R25" s="16"/>
      <c r="S25" s="16"/>
    </row>
    <row r="26" spans="1:19" x14ac:dyDescent="0.2">
      <c r="A26" s="16"/>
      <c r="B26" s="26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27"/>
      <c r="R26" s="16"/>
      <c r="S26" s="16"/>
    </row>
    <row r="27" spans="1:19" x14ac:dyDescent="0.2">
      <c r="A27" s="16"/>
      <c r="B27" s="26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27"/>
      <c r="R27" s="16"/>
      <c r="S27" s="16"/>
    </row>
    <row r="28" spans="1:19" x14ac:dyDescent="0.2">
      <c r="A28" s="16"/>
      <c r="B28" s="26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27"/>
      <c r="R28" s="16"/>
      <c r="S28" s="16"/>
    </row>
    <row r="29" spans="1:19" x14ac:dyDescent="0.2">
      <c r="A29" s="16"/>
      <c r="B29" s="26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27"/>
      <c r="R29" s="16"/>
      <c r="S29" s="16"/>
    </row>
    <row r="30" spans="1:19" x14ac:dyDescent="0.2">
      <c r="A30" s="16"/>
      <c r="B30" s="26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27"/>
      <c r="R30" s="16"/>
      <c r="S30" s="16"/>
    </row>
    <row r="31" spans="1:19" x14ac:dyDescent="0.2">
      <c r="A31" s="16"/>
      <c r="B31" s="26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27"/>
      <c r="R31" s="16"/>
      <c r="S31" s="16"/>
    </row>
    <row r="32" spans="1:19" x14ac:dyDescent="0.2">
      <c r="A32" s="16"/>
      <c r="B32" s="26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27"/>
      <c r="R32" s="16"/>
      <c r="S32" s="16"/>
    </row>
    <row r="33" spans="1:19" x14ac:dyDescent="0.2">
      <c r="A33" s="16"/>
      <c r="B33" s="26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27"/>
      <c r="R33" s="16"/>
      <c r="S33" s="16"/>
    </row>
    <row r="34" spans="1:19" x14ac:dyDescent="0.2">
      <c r="A34" s="16"/>
      <c r="B34" s="26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27"/>
      <c r="R34" s="16"/>
      <c r="S34" s="16"/>
    </row>
    <row r="35" spans="1:19" x14ac:dyDescent="0.2">
      <c r="A35" s="16"/>
      <c r="B35" s="26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27"/>
      <c r="R35" s="16"/>
      <c r="S35" s="16"/>
    </row>
    <row r="36" spans="1:19" x14ac:dyDescent="0.2">
      <c r="A36" s="16"/>
      <c r="B36" s="26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27"/>
      <c r="R36" s="16"/>
      <c r="S36" s="16"/>
    </row>
    <row r="37" spans="1:19" ht="28" customHeight="1" x14ac:dyDescent="0.2">
      <c r="A37" s="16"/>
      <c r="B37" s="26"/>
      <c r="C37" s="19"/>
      <c r="D37" s="19"/>
      <c r="E37" s="19"/>
      <c r="F37" s="19"/>
      <c r="G37" s="19"/>
      <c r="H37" s="32" t="s">
        <v>98</v>
      </c>
      <c r="I37" s="34" t="s">
        <v>90</v>
      </c>
      <c r="J37" s="34" t="s">
        <v>91</v>
      </c>
      <c r="K37" s="15" t="s">
        <v>92</v>
      </c>
      <c r="L37" s="19"/>
      <c r="M37" s="19"/>
      <c r="N37" s="19"/>
      <c r="O37" s="19"/>
      <c r="P37" s="19"/>
      <c r="Q37" s="27"/>
      <c r="R37" s="16"/>
      <c r="S37" s="16"/>
    </row>
    <row r="38" spans="1:19" ht="28" customHeight="1" x14ac:dyDescent="0.2">
      <c r="A38" s="16"/>
      <c r="B38" s="26"/>
      <c r="C38" s="19"/>
      <c r="D38" s="19"/>
      <c r="E38" s="19"/>
      <c r="F38" s="19"/>
      <c r="G38" s="19"/>
      <c r="H38" s="33" t="s">
        <v>99</v>
      </c>
      <c r="I38" s="35">
        <f>'IS Forecast'!G2</f>
        <v>76851.804120000015</v>
      </c>
      <c r="J38" s="35">
        <f>'IS Forecast'!G2*(1+Drivers!G5)</f>
        <v>78388.84020240001</v>
      </c>
      <c r="K38" s="20">
        <f>'IS Forecast'!G2*(1+Drivers!G6)</f>
        <v>75314.768037600021</v>
      </c>
      <c r="L38" s="19"/>
      <c r="M38" s="19"/>
      <c r="N38" s="19"/>
      <c r="O38" s="19"/>
      <c r="P38" s="19"/>
      <c r="Q38" s="27"/>
      <c r="R38" s="16"/>
      <c r="S38" s="16"/>
    </row>
    <row r="39" spans="1:19" ht="28" customHeight="1" x14ac:dyDescent="0.2">
      <c r="A39" s="16"/>
      <c r="B39" s="26"/>
      <c r="C39" s="19"/>
      <c r="D39" s="19"/>
      <c r="E39" s="21"/>
      <c r="F39" s="19"/>
      <c r="G39" s="19"/>
      <c r="H39" s="33" t="s">
        <v>100</v>
      </c>
      <c r="I39" s="35">
        <f>'IS Forecast'!G8</f>
        <v>8453.6984532000042</v>
      </c>
      <c r="J39" s="35">
        <f>'IS Forecast'!G8*(1+Drivers!G5-Drivers!I5)</f>
        <v>8538.2354377320044</v>
      </c>
      <c r="K39" s="20">
        <f>'IS Forecast'!G8*(1+Drivers!G6-Drivers!I6)</f>
        <v>8369.1614686680041</v>
      </c>
      <c r="L39" s="19"/>
      <c r="M39" s="19"/>
      <c r="N39" s="19"/>
      <c r="O39" s="19"/>
      <c r="P39" s="19"/>
      <c r="Q39" s="27"/>
      <c r="R39" s="16"/>
      <c r="S39" s="16"/>
    </row>
    <row r="40" spans="1:19" ht="28" customHeight="1" x14ac:dyDescent="0.2">
      <c r="A40" s="16"/>
      <c r="B40" s="26"/>
      <c r="C40" s="19"/>
      <c r="D40" s="19"/>
      <c r="E40" s="21"/>
      <c r="F40" s="19"/>
      <c r="G40" s="19"/>
      <c r="H40" s="33" t="s">
        <v>101</v>
      </c>
      <c r="I40" s="35">
        <f>'CF Forecast'!G8</f>
        <v>9137.7039689200028</v>
      </c>
      <c r="J40" s="35">
        <f>'CF Forecast'!G8*(1+Drivers!G5-Drivers!I5)</f>
        <v>9229.0810086092024</v>
      </c>
      <c r="K40" s="20">
        <f>'CF Forecast'!G8*(1+Drivers!G6-Drivers!I6)</f>
        <v>9046.3269292308032</v>
      </c>
      <c r="L40" s="19"/>
      <c r="M40" s="19"/>
      <c r="N40" s="19"/>
      <c r="O40" s="19"/>
      <c r="P40" s="19"/>
      <c r="Q40" s="27"/>
      <c r="R40" s="16"/>
      <c r="S40" s="16"/>
    </row>
    <row r="41" spans="1:19" ht="28" customHeight="1" x14ac:dyDescent="0.2">
      <c r="A41" s="16"/>
      <c r="B41" s="26"/>
      <c r="C41" s="19"/>
      <c r="D41" s="19"/>
      <c r="E41" s="21"/>
      <c r="F41" s="19"/>
      <c r="G41" s="19"/>
      <c r="H41" s="33" t="s">
        <v>102</v>
      </c>
      <c r="I41" s="35">
        <f>DCF!G14</f>
        <v>246160.25793372348</v>
      </c>
      <c r="J41" s="35">
        <f>DCF!G14*(1+Drivers!G5-Drivers!H5)</f>
        <v>253545.06567173518</v>
      </c>
      <c r="K41" s="20">
        <f>DCF!G14*(1+Drivers!G6-Drivers!H6)</f>
        <v>238775.45019571178</v>
      </c>
      <c r="L41" s="19"/>
      <c r="M41" s="19"/>
      <c r="N41" s="19"/>
      <c r="O41" s="19"/>
      <c r="P41" s="19"/>
      <c r="Q41" s="27"/>
      <c r="R41" s="16"/>
      <c r="S41" s="16"/>
    </row>
    <row r="42" spans="1:19" ht="27" customHeight="1" thickBot="1" x14ac:dyDescent="0.25">
      <c r="A42" s="16"/>
      <c r="B42" s="28"/>
      <c r="C42" s="29"/>
      <c r="D42" s="29"/>
      <c r="E42" s="30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31"/>
      <c r="R42" s="16"/>
      <c r="S42" s="16"/>
    </row>
    <row r="43" spans="1:19" x14ac:dyDescent="0.2">
      <c r="A43" s="16"/>
      <c r="B43" s="16"/>
      <c r="C43" s="16"/>
      <c r="D43" s="16"/>
      <c r="E43" s="22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spans="1:19" x14ac:dyDescent="0.2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spans="1:19" x14ac:dyDescent="0.2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</row>
    <row r="46" spans="1:19" x14ac:dyDescent="0.2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 spans="1:19" x14ac:dyDescent="0.2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</sheetData>
  <mergeCells count="2">
    <mergeCell ref="C3:P3"/>
    <mergeCell ref="C4:P4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08B07-FB81-6949-8DCE-12B4F8178FFE}">
  <sheetPr>
    <tabColor rgb="FF00B050"/>
  </sheetPr>
  <dimension ref="A1:I36"/>
  <sheetViews>
    <sheetView zoomScale="87" workbookViewId="0">
      <selection activeCell="F28" sqref="F28"/>
    </sheetView>
  </sheetViews>
  <sheetFormatPr baseColWidth="10" defaultRowHeight="14" x14ac:dyDescent="0.15"/>
  <cols>
    <col min="1" max="1" width="24.83203125" style="2" bestFit="1" customWidth="1"/>
    <col min="2" max="7" width="13.1640625" style="7" customWidth="1"/>
    <col min="8" max="8" width="15.83203125" style="2" customWidth="1"/>
    <col min="9" max="16384" width="10.83203125" style="2"/>
  </cols>
  <sheetData>
    <row r="1" spans="1:9" x14ac:dyDescent="0.15">
      <c r="A1" s="1" t="s">
        <v>57</v>
      </c>
      <c r="B1" s="1" t="s">
        <v>49</v>
      </c>
      <c r="C1" s="1" t="s">
        <v>50</v>
      </c>
      <c r="D1" s="1" t="s">
        <v>51</v>
      </c>
      <c r="E1" s="2"/>
      <c r="F1" s="11" t="s">
        <v>89</v>
      </c>
      <c r="G1" s="7" t="s">
        <v>91</v>
      </c>
    </row>
    <row r="2" spans="1:9" x14ac:dyDescent="0.15">
      <c r="A2" s="2" t="s">
        <v>58</v>
      </c>
      <c r="B2" s="4">
        <f>0.05 + $G$8</f>
        <v>7.0000000000000007E-2</v>
      </c>
      <c r="C2" s="4">
        <f>0.04 + $G$8</f>
        <v>0.06</v>
      </c>
      <c r="D2" s="4">
        <f>0.03 + $G$8</f>
        <v>0.05</v>
      </c>
      <c r="E2" s="2"/>
    </row>
    <row r="3" spans="1:9" ht="16" x14ac:dyDescent="0.2">
      <c r="A3" s="2" t="s">
        <v>59</v>
      </c>
      <c r="B3" s="4">
        <f xml:space="preserve"> -0.84 + $I$8</f>
        <v>-0.83</v>
      </c>
      <c r="C3" s="4">
        <f xml:space="preserve"> -0.83 + $I$8</f>
        <v>-0.82</v>
      </c>
      <c r="D3" s="4">
        <f xml:space="preserve"> -0.82 + $I$8</f>
        <v>-0.80999999999999994</v>
      </c>
      <c r="E3" s="2"/>
      <c r="F3" s="11" t="s">
        <v>89</v>
      </c>
      <c r="G3" s="11" t="s">
        <v>93</v>
      </c>
      <c r="H3" s="11" t="s">
        <v>94</v>
      </c>
      <c r="I3" s="13" t="s">
        <v>95</v>
      </c>
    </row>
    <row r="4" spans="1:9" x14ac:dyDescent="0.15">
      <c r="A4" s="2" t="s">
        <v>60</v>
      </c>
      <c r="B4" s="4">
        <v>-0.05</v>
      </c>
      <c r="C4" s="4">
        <v>-0.05</v>
      </c>
      <c r="D4" s="4">
        <v>-0.05</v>
      </c>
      <c r="E4" s="2"/>
      <c r="F4" s="7" t="s">
        <v>90</v>
      </c>
      <c r="G4" s="7">
        <v>0</v>
      </c>
      <c r="H4" s="2">
        <v>0</v>
      </c>
      <c r="I4" s="2">
        <v>0</v>
      </c>
    </row>
    <row r="5" spans="1:9" x14ac:dyDescent="0.15">
      <c r="A5" s="2" t="s">
        <v>61</v>
      </c>
      <c r="B5" s="4">
        <v>-0.01</v>
      </c>
      <c r="C5" s="4">
        <v>-0.01</v>
      </c>
      <c r="D5" s="4">
        <v>-0.01</v>
      </c>
      <c r="E5" s="2"/>
      <c r="F5" s="7" t="s">
        <v>91</v>
      </c>
      <c r="G5" s="7">
        <v>0.02</v>
      </c>
      <c r="H5" s="2">
        <v>-0.01</v>
      </c>
      <c r="I5" s="2">
        <v>0.01</v>
      </c>
    </row>
    <row r="6" spans="1:9" x14ac:dyDescent="0.15">
      <c r="A6" s="2" t="s">
        <v>52</v>
      </c>
      <c r="B6" s="9">
        <v>-0.03</v>
      </c>
      <c r="C6" s="9">
        <v>-0.03</v>
      </c>
      <c r="D6" s="9">
        <v>-0.02</v>
      </c>
      <c r="E6" s="2"/>
      <c r="F6" s="7" t="s">
        <v>92</v>
      </c>
      <c r="G6" s="7">
        <v>-0.02</v>
      </c>
      <c r="H6" s="2">
        <v>0.01</v>
      </c>
      <c r="I6" s="2">
        <v>-0.01</v>
      </c>
    </row>
    <row r="7" spans="1:9" x14ac:dyDescent="0.15">
      <c r="A7" s="2" t="s">
        <v>54</v>
      </c>
      <c r="B7" s="4">
        <v>0.26</v>
      </c>
      <c r="C7" s="4">
        <v>0.26</v>
      </c>
      <c r="D7" s="4">
        <v>0.26</v>
      </c>
      <c r="E7" s="2"/>
    </row>
    <row r="8" spans="1:9" x14ac:dyDescent="0.15">
      <c r="A8" s="2" t="s">
        <v>53</v>
      </c>
      <c r="B8" s="4">
        <v>0.06</v>
      </c>
      <c r="C8" s="4">
        <v>0.06</v>
      </c>
      <c r="D8" s="4">
        <v>0.06</v>
      </c>
      <c r="E8" s="2"/>
      <c r="G8" s="7">
        <f>INDEX($G$4:$G$6, MATCH($G$1, $F$4:$F$6, 0))</f>
        <v>0.02</v>
      </c>
      <c r="H8" s="2">
        <f>INDEX($H$4:$H$6, MATCH($G$1, $F$4:$F$6, 0))</f>
        <v>-0.01</v>
      </c>
      <c r="I8" s="2">
        <f xml:space="preserve"> INDEX($I$4:$I$6, MATCH($G$1, $F$4:$F$6, 0))</f>
        <v>0.01</v>
      </c>
    </row>
    <row r="9" spans="1:9" x14ac:dyDescent="0.15">
      <c r="A9" s="2" t="s">
        <v>62</v>
      </c>
      <c r="B9" s="4">
        <v>0.04</v>
      </c>
      <c r="C9" s="4">
        <v>0.04</v>
      </c>
      <c r="D9" s="4">
        <v>0.04</v>
      </c>
      <c r="E9" s="2"/>
      <c r="F9" s="8"/>
    </row>
    <row r="10" spans="1:9" x14ac:dyDescent="0.15">
      <c r="A10" s="2" t="s">
        <v>46</v>
      </c>
      <c r="B10" s="4">
        <v>0.12</v>
      </c>
      <c r="C10" s="4">
        <v>0.12</v>
      </c>
      <c r="D10" s="4">
        <v>0.12</v>
      </c>
      <c r="E10" s="2"/>
      <c r="F10" s="8"/>
    </row>
    <row r="11" spans="1:9" x14ac:dyDescent="0.15">
      <c r="A11" s="2" t="s">
        <v>47</v>
      </c>
      <c r="B11" s="4">
        <v>0.09</v>
      </c>
      <c r="C11" s="4">
        <v>0.09</v>
      </c>
      <c r="D11" s="4">
        <v>0.09</v>
      </c>
      <c r="E11" s="2"/>
    </row>
    <row r="12" spans="1:9" x14ac:dyDescent="0.15">
      <c r="A12" s="2" t="s">
        <v>48</v>
      </c>
      <c r="B12" s="4">
        <v>0.16</v>
      </c>
      <c r="C12" s="4">
        <v>0.16</v>
      </c>
      <c r="D12" s="4">
        <v>0.16</v>
      </c>
      <c r="E12" s="2"/>
    </row>
    <row r="13" spans="1:9" x14ac:dyDescent="0.15">
      <c r="A13" s="2" t="s">
        <v>55</v>
      </c>
      <c r="B13" s="12">
        <f>0.08 + $H$8</f>
        <v>7.0000000000000007E-2</v>
      </c>
      <c r="C13" s="9">
        <f xml:space="preserve"> B13</f>
        <v>7.0000000000000007E-2</v>
      </c>
      <c r="D13" s="4">
        <f xml:space="preserve"> B13</f>
        <v>7.0000000000000007E-2</v>
      </c>
      <c r="E13" s="2"/>
    </row>
    <row r="14" spans="1:9" x14ac:dyDescent="0.15">
      <c r="A14" s="2" t="s">
        <v>56</v>
      </c>
      <c r="C14" s="9"/>
      <c r="D14" s="4">
        <v>0.02</v>
      </c>
      <c r="E14" s="9"/>
    </row>
    <row r="15" spans="1:9" x14ac:dyDescent="0.15">
      <c r="B15" s="2"/>
      <c r="C15" s="9"/>
      <c r="D15" s="9"/>
      <c r="E15" s="9"/>
    </row>
    <row r="16" spans="1:9" x14ac:dyDescent="0.15">
      <c r="B16" s="2"/>
      <c r="C16" s="9"/>
      <c r="D16" s="9"/>
      <c r="E16" s="9"/>
    </row>
    <row r="17" spans="2:5" x14ac:dyDescent="0.15">
      <c r="B17" s="2"/>
      <c r="C17" s="2"/>
      <c r="D17" s="2"/>
      <c r="E17" s="2"/>
    </row>
    <row r="18" spans="2:5" x14ac:dyDescent="0.15">
      <c r="B18" s="4"/>
      <c r="C18" s="9"/>
      <c r="D18" s="9"/>
      <c r="E18" s="9"/>
    </row>
    <row r="19" spans="2:5" x14ac:dyDescent="0.15">
      <c r="B19" s="4"/>
      <c r="C19" s="9"/>
      <c r="D19" s="9"/>
      <c r="E19" s="9"/>
    </row>
    <row r="20" spans="2:5" x14ac:dyDescent="0.15">
      <c r="B20" s="4"/>
      <c r="C20" s="9"/>
      <c r="D20" s="9"/>
      <c r="E20" s="9"/>
    </row>
    <row r="21" spans="2:5" x14ac:dyDescent="0.15">
      <c r="B21" s="2"/>
      <c r="C21" s="9"/>
      <c r="D21" s="9"/>
      <c r="E21" s="9"/>
    </row>
    <row r="22" spans="2:5" x14ac:dyDescent="0.15">
      <c r="B22" s="2"/>
      <c r="C22" s="9"/>
      <c r="D22" s="9"/>
      <c r="E22" s="9"/>
    </row>
    <row r="23" spans="2:5" x14ac:dyDescent="0.15">
      <c r="B23" s="4"/>
      <c r="C23" s="9"/>
      <c r="D23" s="9"/>
      <c r="E23" s="9"/>
    </row>
    <row r="24" spans="2:5" x14ac:dyDescent="0.15">
      <c r="B24" s="4"/>
      <c r="C24" s="9"/>
      <c r="D24" s="9"/>
      <c r="E24" s="9"/>
    </row>
    <row r="25" spans="2:5" x14ac:dyDescent="0.15">
      <c r="B25" s="4"/>
      <c r="C25" s="9"/>
      <c r="D25" s="9"/>
      <c r="E25" s="9"/>
    </row>
    <row r="26" spans="2:5" x14ac:dyDescent="0.15">
      <c r="B26" s="4"/>
      <c r="C26" s="9"/>
      <c r="D26" s="9"/>
      <c r="E26" s="9"/>
    </row>
    <row r="27" spans="2:5" x14ac:dyDescent="0.15">
      <c r="B27" s="2"/>
      <c r="C27" s="9"/>
      <c r="D27" s="9"/>
      <c r="E27" s="9"/>
    </row>
    <row r="28" spans="2:5" x14ac:dyDescent="0.15">
      <c r="B28" s="2"/>
      <c r="C28" s="2"/>
      <c r="D28" s="2"/>
      <c r="E28" s="2"/>
    </row>
    <row r="29" spans="2:5" x14ac:dyDescent="0.15">
      <c r="B29" s="4"/>
      <c r="C29" s="4"/>
      <c r="D29" s="4"/>
      <c r="E29" s="2"/>
    </row>
    <row r="30" spans="2:5" x14ac:dyDescent="0.15">
      <c r="B30" s="4"/>
      <c r="C30" s="4"/>
      <c r="D30" s="4"/>
      <c r="E30" s="2"/>
    </row>
    <row r="31" spans="2:5" x14ac:dyDescent="0.15">
      <c r="B31" s="4"/>
      <c r="C31" s="4"/>
      <c r="D31" s="4"/>
      <c r="E31" s="2"/>
    </row>
    <row r="32" spans="2:5" x14ac:dyDescent="0.15">
      <c r="B32" s="2"/>
      <c r="C32" s="2"/>
      <c r="D32" s="2"/>
      <c r="E32" s="2"/>
    </row>
    <row r="33" spans="2:5" x14ac:dyDescent="0.15">
      <c r="B33" s="4"/>
      <c r="C33" s="4"/>
      <c r="D33" s="4"/>
      <c r="E33" s="2"/>
    </row>
    <row r="34" spans="2:5" x14ac:dyDescent="0.15">
      <c r="B34" s="4"/>
      <c r="C34" s="4"/>
      <c r="D34" s="4"/>
      <c r="E34" s="2"/>
    </row>
    <row r="35" spans="2:5" x14ac:dyDescent="0.15">
      <c r="B35" s="2"/>
      <c r="C35" s="2"/>
      <c r="D35" s="2"/>
      <c r="E35" s="2"/>
    </row>
    <row r="36" spans="2:5" x14ac:dyDescent="0.15">
      <c r="B36" s="2"/>
      <c r="C36" s="2"/>
      <c r="D36" s="2"/>
      <c r="E36" s="2"/>
    </row>
  </sheetData>
  <dataValidations count="1">
    <dataValidation type="list" allowBlank="1" showInputMessage="1" showErrorMessage="1" sqref="G1" xr:uid="{C9275169-0C6D-AF4D-BAAC-7B3849EF442A}">
      <formula1>"Base,Bull,Bear"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74D45-C5CB-0A45-BCE5-EB9544912A63}">
  <sheetPr>
    <tabColor rgb="FF0070C0"/>
  </sheetPr>
  <dimension ref="A1:G12"/>
  <sheetViews>
    <sheetView workbookViewId="0">
      <selection activeCell="G42" sqref="G42"/>
    </sheetView>
  </sheetViews>
  <sheetFormatPr baseColWidth="10" defaultRowHeight="14" x14ac:dyDescent="0.15"/>
  <cols>
    <col min="1" max="1" width="25.6640625" style="2" bestFit="1" customWidth="1"/>
    <col min="2" max="4" width="0" style="3" hidden="1" customWidth="1"/>
    <col min="5" max="5" width="11.33203125" style="3" bestFit="1" customWidth="1"/>
    <col min="6" max="7" width="11.33203125" style="2" bestFit="1" customWidth="1"/>
    <col min="8" max="16384" width="10.83203125" style="2"/>
  </cols>
  <sheetData>
    <row r="1" spans="1:7" x14ac:dyDescent="0.15">
      <c r="A1" s="1" t="s">
        <v>63</v>
      </c>
      <c r="B1" s="1">
        <v>2024</v>
      </c>
      <c r="C1" s="1">
        <v>2023</v>
      </c>
      <c r="D1" s="1">
        <v>2022</v>
      </c>
      <c r="E1" s="6" t="s">
        <v>49</v>
      </c>
      <c r="F1" s="6" t="s">
        <v>50</v>
      </c>
      <c r="G1" s="6" t="s">
        <v>51</v>
      </c>
    </row>
    <row r="2" spans="1:7" x14ac:dyDescent="0.15">
      <c r="A2" s="2" t="s">
        <v>0</v>
      </c>
      <c r="B2" s="2">
        <v>64532</v>
      </c>
      <c r="C2" s="2">
        <v>69865</v>
      </c>
      <c r="D2" s="2">
        <v>61753</v>
      </c>
      <c r="E2" s="3">
        <f xml:space="preserve"> B2 * (1 + Drivers!B2)</f>
        <v>69049.240000000005</v>
      </c>
      <c r="F2" s="3">
        <f xml:space="preserve"> E2 * (1 + Drivers!C2)</f>
        <v>73192.194400000008</v>
      </c>
      <c r="G2" s="3">
        <f xml:space="preserve"> F2 * (1 + Drivers!D2)</f>
        <v>76851.804120000015</v>
      </c>
    </row>
    <row r="3" spans="1:7" x14ac:dyDescent="0.15">
      <c r="A3" s="2" t="s">
        <v>2</v>
      </c>
      <c r="B3" s="2">
        <v>-54419</v>
      </c>
      <c r="C3" s="2">
        <v>-58576</v>
      </c>
      <c r="D3" s="2">
        <v>-52237</v>
      </c>
      <c r="E3" s="3">
        <f xml:space="preserve"> E2 * Drivers!B3</f>
        <v>-57310.869200000001</v>
      </c>
      <c r="F3" s="3">
        <f xml:space="preserve"> F2 * Drivers!C3</f>
        <v>-60017.599408000002</v>
      </c>
      <c r="G3" s="3">
        <f xml:space="preserve"> G2 * Drivers!D3</f>
        <v>-62249.961337200009</v>
      </c>
    </row>
    <row r="4" spans="1:7" x14ac:dyDescent="0.15">
      <c r="A4" s="2" t="s">
        <v>14</v>
      </c>
      <c r="B4" s="3">
        <v>10113</v>
      </c>
      <c r="C4" s="2">
        <v>11289</v>
      </c>
      <c r="D4" s="2">
        <v>9516</v>
      </c>
      <c r="E4" s="3">
        <f xml:space="preserve"> E2 + E3</f>
        <v>11738.370800000004</v>
      </c>
      <c r="F4" s="3">
        <f xml:space="preserve"> F2 + F3</f>
        <v>13174.594992000006</v>
      </c>
      <c r="G4" s="3">
        <f xml:space="preserve"> G2 + G3</f>
        <v>14601.842782800006</v>
      </c>
    </row>
    <row r="5" spans="1:7" x14ac:dyDescent="0.15">
      <c r="A5" s="2" t="s">
        <v>3</v>
      </c>
      <c r="B5" s="3">
        <v>-3352</v>
      </c>
      <c r="C5" s="2">
        <v>-3377</v>
      </c>
      <c r="D5" s="2">
        <v>-3184</v>
      </c>
      <c r="E5" s="3">
        <f xml:space="preserve"> E2 * Drivers!B4</f>
        <v>-3452.4620000000004</v>
      </c>
      <c r="F5" s="3">
        <f xml:space="preserve"> F2 * Drivers!C4</f>
        <v>-3659.6097200000004</v>
      </c>
      <c r="G5" s="3">
        <f xml:space="preserve"> G2 * Drivers!D4</f>
        <v>-3842.5902060000008</v>
      </c>
    </row>
    <row r="6" spans="1:7" x14ac:dyDescent="0.15">
      <c r="A6" s="2" t="s">
        <v>4</v>
      </c>
      <c r="B6" s="3">
        <v>-762</v>
      </c>
      <c r="C6" s="2">
        <v>-771</v>
      </c>
      <c r="D6" s="2">
        <v>-759</v>
      </c>
      <c r="E6" s="3">
        <f xml:space="preserve"> E2 * Drivers!B5</f>
        <v>-690.49240000000009</v>
      </c>
      <c r="F6" s="3">
        <f xml:space="preserve"> F2 * Drivers!C5</f>
        <v>-731.92194400000005</v>
      </c>
      <c r="G6" s="3">
        <f xml:space="preserve"> G2 * Drivers!D5</f>
        <v>-768.5180412000002</v>
      </c>
    </row>
    <row r="7" spans="1:7" x14ac:dyDescent="0.15">
      <c r="A7" s="2" t="s">
        <v>5</v>
      </c>
      <c r="B7" s="3">
        <v>-2123</v>
      </c>
      <c r="C7" s="2">
        <v>-860</v>
      </c>
      <c r="D7" s="2">
        <v>1977</v>
      </c>
      <c r="E7" s="3">
        <f xml:space="preserve"> E2 * Drivers!B6</f>
        <v>-2071.4772000000003</v>
      </c>
      <c r="F7" s="3">
        <f xml:space="preserve"> F2 * Drivers!C6</f>
        <v>-2195.765832</v>
      </c>
      <c r="G7" s="3">
        <f xml:space="preserve"> G2 * Drivers!D6</f>
        <v>-1537.0360824000004</v>
      </c>
    </row>
    <row r="8" spans="1:7" x14ac:dyDescent="0.15">
      <c r="A8" s="2" t="s">
        <v>64</v>
      </c>
      <c r="B8" s="3">
        <v>3903</v>
      </c>
      <c r="C8" s="2">
        <v>6280</v>
      </c>
      <c r="D8" s="2">
        <v>7550</v>
      </c>
      <c r="E8" s="3">
        <f xml:space="preserve"> E4 + E5 + E6 + E7</f>
        <v>5523.9392000000043</v>
      </c>
      <c r="F8" s="3">
        <f t="shared" ref="F8:G8" si="0" xml:space="preserve"> F4 + F5 + F6 + F7</f>
        <v>6587.2974960000056</v>
      </c>
      <c r="G8" s="3">
        <f t="shared" si="0"/>
        <v>8453.6984532000042</v>
      </c>
    </row>
    <row r="9" spans="1:7" x14ac:dyDescent="0.15">
      <c r="A9" s="2" t="s">
        <v>7</v>
      </c>
      <c r="B9" s="3">
        <v>1097</v>
      </c>
      <c r="C9" s="2">
        <v>1423</v>
      </c>
      <c r="D9" s="2">
        <v>1522</v>
      </c>
      <c r="E9" s="3">
        <f xml:space="preserve"> $B$9</f>
        <v>1097</v>
      </c>
      <c r="F9" s="3">
        <f t="shared" ref="F9:G9" si="1" xml:space="preserve"> $B$9</f>
        <v>1097</v>
      </c>
      <c r="G9" s="3">
        <f t="shared" si="1"/>
        <v>1097</v>
      </c>
    </row>
    <row r="10" spans="1:7" x14ac:dyDescent="0.15">
      <c r="A10" s="2" t="s">
        <v>8</v>
      </c>
      <c r="B10" s="3">
        <v>5000</v>
      </c>
      <c r="C10" s="2">
        <v>7703</v>
      </c>
      <c r="D10" s="2">
        <v>9072</v>
      </c>
      <c r="E10" s="3">
        <f xml:space="preserve"> E8 + E9</f>
        <v>6620.9392000000043</v>
      </c>
      <c r="F10" s="3">
        <f xml:space="preserve"> F8 + F9</f>
        <v>7684.2974960000056</v>
      </c>
      <c r="G10" s="3">
        <f xml:space="preserve"> G8 + G9</f>
        <v>9550.6984532000042</v>
      </c>
    </row>
    <row r="11" spans="1:7" x14ac:dyDescent="0.15">
      <c r="A11" s="2" t="s">
        <v>9</v>
      </c>
      <c r="B11" s="3">
        <v>-811</v>
      </c>
      <c r="C11" s="2">
        <v>-1443</v>
      </c>
      <c r="D11" s="2">
        <v>-1956</v>
      </c>
      <c r="E11" s="3">
        <f xml:space="preserve"> E10 *-Drivers!B7</f>
        <v>-1721.4441920000013</v>
      </c>
      <c r="F11" s="3">
        <f xml:space="preserve"> F10 *-Drivers!C7</f>
        <v>-1997.9173489600016</v>
      </c>
      <c r="G11" s="3">
        <f xml:space="preserve"> G10 *-Drivers!D7</f>
        <v>-2483.181597832001</v>
      </c>
    </row>
    <row r="12" spans="1:7" x14ac:dyDescent="0.15">
      <c r="A12" s="2" t="s">
        <v>10</v>
      </c>
      <c r="B12" s="3">
        <v>4189</v>
      </c>
      <c r="C12" s="2">
        <v>6260</v>
      </c>
      <c r="D12" s="2">
        <v>7116</v>
      </c>
      <c r="E12" s="3">
        <f xml:space="preserve"> E10 + E11</f>
        <v>4899.4950080000035</v>
      </c>
      <c r="F12" s="3">
        <f t="shared" ref="F12:G12" si="2" xml:space="preserve"> F10 + F11</f>
        <v>5686.380147040004</v>
      </c>
      <c r="G12" s="3">
        <f t="shared" si="2"/>
        <v>7067.5168553680032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2A9DC-A445-6542-A4C0-F33E0B3E8C05}">
  <sheetPr>
    <tabColor rgb="FF0070C0"/>
  </sheetPr>
  <dimension ref="A1:G25"/>
  <sheetViews>
    <sheetView workbookViewId="0">
      <selection activeCell="G42" sqref="G42"/>
    </sheetView>
  </sheetViews>
  <sheetFormatPr baseColWidth="10" defaultRowHeight="14" x14ac:dyDescent="0.15"/>
  <cols>
    <col min="1" max="1" width="30.5" style="2" bestFit="1" customWidth="1"/>
    <col min="2" max="4" width="0" style="2" hidden="1" customWidth="1"/>
    <col min="5" max="16384" width="10.83203125" style="2"/>
  </cols>
  <sheetData>
    <row r="1" spans="1:7" x14ac:dyDescent="0.15">
      <c r="A1" s="1" t="s">
        <v>16</v>
      </c>
      <c r="B1" s="1">
        <v>2024</v>
      </c>
      <c r="C1" s="1">
        <v>2023</v>
      </c>
      <c r="D1" s="1">
        <v>2022</v>
      </c>
      <c r="E1" s="1" t="s">
        <v>49</v>
      </c>
      <c r="F1" s="1" t="s">
        <v>50</v>
      </c>
      <c r="G1" s="1" t="s">
        <v>51</v>
      </c>
    </row>
    <row r="2" spans="1:7" x14ac:dyDescent="0.15">
      <c r="A2" s="2" t="s">
        <v>17</v>
      </c>
      <c r="B2" s="2">
        <v>35318</v>
      </c>
      <c r="C2" s="2">
        <v>35230</v>
      </c>
      <c r="D2" s="2">
        <v>32675</v>
      </c>
      <c r="E2" s="3">
        <f xml:space="preserve"> B2 + ('IS Forecast'!E2 * Drivers!B8) - ('IS Forecast'!E2 * Drivers!B9)</f>
        <v>36698.984800000006</v>
      </c>
      <c r="F2" s="3">
        <f xml:space="preserve"> E2 + ('IS Forecast'!F2 * Drivers!C8) - ('IS Forecast'!F2 * Drivers!C9)</f>
        <v>38162.828688000009</v>
      </c>
      <c r="G2" s="3">
        <f xml:space="preserve"> F2 + ('IS Forecast'!G2 * Drivers!D8) - ('IS Forecast'!G2 * Drivers!D9)</f>
        <v>39699.864770400003</v>
      </c>
    </row>
    <row r="3" spans="1:7" x14ac:dyDescent="0.15">
      <c r="A3" s="2" t="s">
        <v>18</v>
      </c>
      <c r="B3" s="2">
        <v>37703</v>
      </c>
      <c r="C3" s="2">
        <v>38199</v>
      </c>
      <c r="D3" s="2">
        <v>38119</v>
      </c>
      <c r="E3" s="3">
        <f>E4+E5+E6+E7</f>
        <v>30487.249280000004</v>
      </c>
      <c r="F3" s="3">
        <f t="shared" ref="F3:G3" si="0">F4+F5+F6+F7</f>
        <v>34537.26104432001</v>
      </c>
      <c r="G3" s="3">
        <f t="shared" si="0"/>
        <v>39832.374807240012</v>
      </c>
    </row>
    <row r="4" spans="1:7" x14ac:dyDescent="0.15">
      <c r="A4" s="2" t="s">
        <v>19</v>
      </c>
      <c r="B4" s="2">
        <v>7837</v>
      </c>
      <c r="C4" s="2">
        <v>7966</v>
      </c>
      <c r="D4" s="2">
        <v>8336</v>
      </c>
      <c r="E4" s="3">
        <f xml:space="preserve"> 'IS Forecast'!E2 * Drivers!B10</f>
        <v>8285.9088000000011</v>
      </c>
      <c r="F4" s="3">
        <f xml:space="preserve"> 'IS Forecast'!F2 * Drivers!C10</f>
        <v>8783.0633280000002</v>
      </c>
      <c r="G4" s="3">
        <f xml:space="preserve"> 'IS Forecast'!G2 * Drivers!D10</f>
        <v>9222.2164944000015</v>
      </c>
    </row>
    <row r="5" spans="1:7" x14ac:dyDescent="0.15">
      <c r="A5" s="2" t="s">
        <v>20</v>
      </c>
      <c r="B5" s="2">
        <v>5932</v>
      </c>
      <c r="C5" s="2">
        <v>5598</v>
      </c>
      <c r="D5" s="2">
        <v>5471</v>
      </c>
      <c r="E5" s="3">
        <f xml:space="preserve"> 'IS Forecast'!E2 * Drivers!B11</f>
        <v>6214.4315999999999</v>
      </c>
      <c r="F5" s="3">
        <f xml:space="preserve"> 'IS Forecast'!F2 * Drivers!C11</f>
        <v>6587.2974960000001</v>
      </c>
      <c r="G5" s="3">
        <f xml:space="preserve"> 'IS Forecast'!G2 * Drivers!D11</f>
        <v>6916.6623708000016</v>
      </c>
    </row>
    <row r="6" spans="1:7" x14ac:dyDescent="0.15">
      <c r="A6" s="2" t="s">
        <v>21</v>
      </c>
      <c r="B6" s="2">
        <v>12229</v>
      </c>
      <c r="C6" s="2">
        <v>13436</v>
      </c>
      <c r="D6" s="2">
        <v>9599</v>
      </c>
      <c r="E6" s="3">
        <f>'CF Forecast'!E14</f>
        <v>15910.908880000003</v>
      </c>
      <c r="F6" s="3">
        <f>'CF Forecast'!F14</f>
        <v>19090.900220320007</v>
      </c>
      <c r="G6" s="3">
        <f>'CF Forecast'!G14</f>
        <v>23617.495942040008</v>
      </c>
    </row>
    <row r="7" spans="1:7" x14ac:dyDescent="0.15">
      <c r="A7" s="2" t="s">
        <v>22</v>
      </c>
      <c r="B7" s="2">
        <v>76</v>
      </c>
      <c r="C7" s="2">
        <v>18</v>
      </c>
      <c r="D7" s="2">
        <v>18</v>
      </c>
      <c r="E7" s="3">
        <f xml:space="preserve"> $B$7</f>
        <v>76</v>
      </c>
      <c r="F7" s="3">
        <f t="shared" ref="F7:G7" si="1" xml:space="preserve"> $B$7</f>
        <v>76</v>
      </c>
      <c r="G7" s="3">
        <f t="shared" si="1"/>
        <v>76</v>
      </c>
    </row>
    <row r="8" spans="1:7" x14ac:dyDescent="0.15">
      <c r="A8" s="1" t="s">
        <v>11</v>
      </c>
      <c r="B8" s="2">
        <v>73097</v>
      </c>
      <c r="C8" s="2">
        <v>73447</v>
      </c>
      <c r="D8" s="2">
        <v>70812</v>
      </c>
      <c r="E8" s="3">
        <f>E2+E3</f>
        <v>67186.234080000009</v>
      </c>
      <c r="F8" s="3">
        <f t="shared" ref="F8:G8" si="2">F2+F3</f>
        <v>72700.089732320019</v>
      </c>
      <c r="G8" s="3">
        <f t="shared" si="2"/>
        <v>79532.239577640023</v>
      </c>
    </row>
    <row r="9" spans="1:7" x14ac:dyDescent="0.15">
      <c r="E9" s="3"/>
      <c r="F9" s="3"/>
      <c r="G9" s="3"/>
    </row>
    <row r="10" spans="1:7" x14ac:dyDescent="0.15">
      <c r="A10" s="2" t="s">
        <v>1</v>
      </c>
      <c r="B10" s="2">
        <v>35882</v>
      </c>
      <c r="C10" s="2">
        <v>33839</v>
      </c>
      <c r="D10" s="2">
        <v>31582</v>
      </c>
      <c r="E10" s="3">
        <f xml:space="preserve"> B10 + 'IS Forecast'!E12</f>
        <v>40781.495008000005</v>
      </c>
      <c r="F10" s="3">
        <f xml:space="preserve"> E10 + 'IS Forecast'!F12</f>
        <v>46467.875155040012</v>
      </c>
      <c r="G10" s="3">
        <f xml:space="preserve"> F10 + 'IS Forecast'!G12</f>
        <v>53535.392010408017</v>
      </c>
    </row>
    <row r="11" spans="1:7" x14ac:dyDescent="0.15">
      <c r="E11" s="3"/>
      <c r="F11" s="3"/>
      <c r="G11" s="3"/>
    </row>
    <row r="12" spans="1:7" x14ac:dyDescent="0.15">
      <c r="A12" s="2" t="s">
        <v>23</v>
      </c>
      <c r="B12" s="2">
        <v>37215</v>
      </c>
      <c r="C12" s="2">
        <v>39608</v>
      </c>
      <c r="D12" s="2">
        <v>39230</v>
      </c>
      <c r="E12" s="3">
        <f>E13+E14</f>
        <v>38160.739071999997</v>
      </c>
      <c r="F12" s="3">
        <f t="shared" ref="F12:G12" si="3">F13+F14</f>
        <v>38593.815905280004</v>
      </c>
      <c r="G12" s="3">
        <f t="shared" si="3"/>
        <v>38950.993813952002</v>
      </c>
    </row>
    <row r="13" spans="1:7" x14ac:dyDescent="0.15">
      <c r="A13" s="2" t="s">
        <v>24</v>
      </c>
      <c r="B13" s="2">
        <v>14882</v>
      </c>
      <c r="C13" s="2">
        <v>15228</v>
      </c>
      <c r="D13" s="2">
        <v>14415</v>
      </c>
      <c r="E13" s="3">
        <f>$B$13</f>
        <v>14882</v>
      </c>
      <c r="F13" s="3">
        <f t="shared" ref="F13:G13" si="4">$B$13</f>
        <v>14882</v>
      </c>
      <c r="G13" s="3">
        <f t="shared" si="4"/>
        <v>14882</v>
      </c>
    </row>
    <row r="14" spans="1:7" x14ac:dyDescent="0.15">
      <c r="A14" s="2" t="s">
        <v>25</v>
      </c>
      <c r="B14" s="2">
        <v>22384</v>
      </c>
      <c r="C14" s="2">
        <v>24380</v>
      </c>
      <c r="D14" s="2">
        <v>24815</v>
      </c>
      <c r="E14" s="3">
        <f>E15+14109</f>
        <v>23278.739072</v>
      </c>
      <c r="F14" s="3">
        <f>F15+14109</f>
        <v>23711.81590528</v>
      </c>
      <c r="G14" s="3">
        <f>G15+14109</f>
        <v>24068.993813952002</v>
      </c>
    </row>
    <row r="15" spans="1:7" x14ac:dyDescent="0.15">
      <c r="A15" s="2" t="s">
        <v>26</v>
      </c>
      <c r="B15" s="2">
        <v>8275</v>
      </c>
      <c r="C15" s="2">
        <v>8839</v>
      </c>
      <c r="D15" s="2">
        <v>8632</v>
      </c>
      <c r="E15" s="3">
        <f>ABS( 'IS Forecast'!E3 * Drivers!B12)</f>
        <v>9169.7390720000003</v>
      </c>
      <c r="F15" s="3">
        <f>ABS( 'IS Forecast'!F3 * Drivers!C12)</f>
        <v>9602.8159052800002</v>
      </c>
      <c r="G15" s="3">
        <f>ABS( 'IS Forecast'!G3 * Drivers!D12)</f>
        <v>9959.9938139520018</v>
      </c>
    </row>
    <row r="16" spans="1:7" x14ac:dyDescent="0.15">
      <c r="A16" s="2" t="s">
        <v>79</v>
      </c>
      <c r="E16" s="3">
        <f>E8-(E10+E12)</f>
        <v>-11755.999999999985</v>
      </c>
      <c r="F16" s="3">
        <f t="shared" ref="F16:G16" si="5">F8-(F10+F12)</f>
        <v>-12361.60132799999</v>
      </c>
      <c r="G16" s="3">
        <f t="shared" si="5"/>
        <v>-12954.146246719989</v>
      </c>
    </row>
    <row r="17" spans="1:7" x14ac:dyDescent="0.15">
      <c r="A17" s="2" t="s">
        <v>27</v>
      </c>
      <c r="B17" s="2">
        <v>73097</v>
      </c>
      <c r="C17" s="2">
        <v>73447</v>
      </c>
      <c r="D17" s="2">
        <v>70812</v>
      </c>
      <c r="E17" s="3">
        <f>E10+E12+E16</f>
        <v>67186.234080000009</v>
      </c>
      <c r="F17" s="3">
        <f t="shared" ref="F17:G17" si="6">F10+F12+F16</f>
        <v>72700.089732320019</v>
      </c>
      <c r="G17" s="3">
        <f t="shared" si="6"/>
        <v>79532.239577640023</v>
      </c>
    </row>
    <row r="19" spans="1:7" x14ac:dyDescent="0.15">
      <c r="E19" s="3"/>
      <c r="F19" s="3"/>
      <c r="G19" s="3"/>
    </row>
    <row r="22" spans="1:7" x14ac:dyDescent="0.15">
      <c r="E22" s="3"/>
    </row>
    <row r="23" spans="1:7" x14ac:dyDescent="0.15">
      <c r="E23" s="3"/>
    </row>
    <row r="24" spans="1:7" x14ac:dyDescent="0.15">
      <c r="E24" s="3"/>
    </row>
    <row r="25" spans="1:7" x14ac:dyDescent="0.15">
      <c r="E25" s="3"/>
      <c r="F25" s="3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D417-7090-2748-8769-48A31F6E6B29}">
  <sheetPr>
    <tabColor rgb="FF0070C0"/>
  </sheetPr>
  <dimension ref="A1:G14"/>
  <sheetViews>
    <sheetView workbookViewId="0">
      <selection activeCell="G42" sqref="G42"/>
    </sheetView>
  </sheetViews>
  <sheetFormatPr baseColWidth="10" defaultRowHeight="14" x14ac:dyDescent="0.15"/>
  <cols>
    <col min="1" max="1" width="28.6640625" style="2" bestFit="1" customWidth="1"/>
    <col min="2" max="4" width="10.5" style="2" hidden="1" customWidth="1"/>
    <col min="5" max="7" width="10.5" style="2" customWidth="1"/>
    <col min="8" max="16384" width="10.83203125" style="2"/>
  </cols>
  <sheetData>
    <row r="1" spans="1:7" x14ac:dyDescent="0.15">
      <c r="A1" s="1" t="s">
        <v>66</v>
      </c>
      <c r="B1" s="1"/>
      <c r="C1" s="1"/>
      <c r="D1" s="1"/>
      <c r="E1" s="1" t="s">
        <v>49</v>
      </c>
      <c r="F1" s="1" t="s">
        <v>50</v>
      </c>
      <c r="G1" s="1" t="s">
        <v>51</v>
      </c>
    </row>
    <row r="2" spans="1:7" x14ac:dyDescent="0.15">
      <c r="A2" s="2" t="s">
        <v>65</v>
      </c>
      <c r="E2" s="3">
        <f xml:space="preserve"> 'IS Forecast'!E12</f>
        <v>4899.4950080000035</v>
      </c>
      <c r="F2" s="3">
        <f xml:space="preserve"> 'IS Forecast'!F12</f>
        <v>5686.380147040004</v>
      </c>
      <c r="G2" s="3">
        <f xml:space="preserve"> 'IS Forecast'!G12</f>
        <v>7067.5168553680032</v>
      </c>
    </row>
    <row r="3" spans="1:7" x14ac:dyDescent="0.15">
      <c r="A3" s="2" t="s">
        <v>67</v>
      </c>
      <c r="E3" s="3">
        <f xml:space="preserve"> 'IS Forecast'!E2 * Drivers!B9</f>
        <v>2761.9696000000004</v>
      </c>
      <c r="F3" s="3">
        <f xml:space="preserve"> 'IS Forecast'!F2 * Drivers!C9</f>
        <v>2927.6877760000002</v>
      </c>
      <c r="G3" s="3">
        <f xml:space="preserve"> 'IS Forecast'!G2 * Drivers!D9</f>
        <v>3074.0721648000008</v>
      </c>
    </row>
    <row r="4" spans="1:7" x14ac:dyDescent="0.15">
      <c r="A4" s="2" t="s">
        <v>68</v>
      </c>
      <c r="E4" s="3">
        <f xml:space="preserve"> 'BS Forecast'!E4 - 'BS Forecast'!B4</f>
        <v>448.90880000000107</v>
      </c>
      <c r="F4" s="3">
        <f xml:space="preserve"> 'BS Forecast'!F4 - 'BS Forecast'!C4</f>
        <v>817.06332800000018</v>
      </c>
      <c r="G4" s="3">
        <f xml:space="preserve"> 'BS Forecast'!G4 - 'BS Forecast'!D4</f>
        <v>886.21649440000147</v>
      </c>
    </row>
    <row r="5" spans="1:7" x14ac:dyDescent="0.15">
      <c r="A5" s="2" t="s">
        <v>69</v>
      </c>
      <c r="E5" s="3">
        <f xml:space="preserve"> 'BS Forecast'!E5 - 'BS Forecast'!B5</f>
        <v>282.43159999999989</v>
      </c>
      <c r="F5" s="3">
        <f xml:space="preserve"> 'BS Forecast'!F5 - 'BS Forecast'!C5</f>
        <v>989.29749600000014</v>
      </c>
      <c r="G5" s="3">
        <f xml:space="preserve"> 'BS Forecast'!G5 - 'BS Forecast'!D5</f>
        <v>1445.6623708000016</v>
      </c>
    </row>
    <row r="6" spans="1:7" x14ac:dyDescent="0.15">
      <c r="A6" s="2" t="s">
        <v>70</v>
      </c>
      <c r="E6" s="3">
        <f xml:space="preserve"> 'BS Forecast'!E15 - 'BS Forecast'!B15</f>
        <v>894.73907200000031</v>
      </c>
      <c r="F6" s="3">
        <f xml:space="preserve"> 'BS Forecast'!F15 - 'BS Forecast'!C15</f>
        <v>763.81590528000015</v>
      </c>
      <c r="G6" s="3">
        <f xml:space="preserve"> 'BS Forecast'!G15 - 'BS Forecast'!D15</f>
        <v>1327.9938139520018</v>
      </c>
    </row>
    <row r="7" spans="1:7" x14ac:dyDescent="0.15">
      <c r="A7" s="2" t="s">
        <v>71</v>
      </c>
      <c r="E7" s="3">
        <f xml:space="preserve"> E4 + E5 - E6</f>
        <v>-163.39867199999935</v>
      </c>
      <c r="F7" s="3">
        <f t="shared" ref="F7:G7" si="0" xml:space="preserve"> F4 + F5 - F6</f>
        <v>1042.5449187200002</v>
      </c>
      <c r="G7" s="3">
        <f t="shared" si="0"/>
        <v>1003.8850512480012</v>
      </c>
    </row>
    <row r="8" spans="1:7" x14ac:dyDescent="0.15">
      <c r="A8" s="2" t="s">
        <v>72</v>
      </c>
      <c r="E8" s="3">
        <f xml:space="preserve"> E2 + E3 - E7</f>
        <v>7824.8632800000032</v>
      </c>
      <c r="F8" s="3">
        <f t="shared" ref="F8:G8" si="1" xml:space="preserve"> F2 + F3 - F7</f>
        <v>7571.5230043200036</v>
      </c>
      <c r="G8" s="3">
        <f t="shared" si="1"/>
        <v>9137.7039689200028</v>
      </c>
    </row>
    <row r="9" spans="1:7" x14ac:dyDescent="0.15">
      <c r="A9" s="2" t="s">
        <v>73</v>
      </c>
      <c r="E9" s="3">
        <f xml:space="preserve"> 'IS Forecast'!E2 * -Drivers!B8</f>
        <v>-4142.9544000000005</v>
      </c>
      <c r="F9" s="3">
        <f xml:space="preserve"> 'IS Forecast'!F2 * -Drivers!C8</f>
        <v>-4391.5316640000001</v>
      </c>
      <c r="G9" s="3">
        <f xml:space="preserve"> 'IS Forecast'!G2 * -Drivers!D8</f>
        <v>-4611.1082472000007</v>
      </c>
    </row>
    <row r="10" spans="1:7" x14ac:dyDescent="0.15">
      <c r="A10" s="2" t="s">
        <v>74</v>
      </c>
      <c r="E10" s="3">
        <f xml:space="preserve"> E9</f>
        <v>-4142.9544000000005</v>
      </c>
      <c r="F10" s="3">
        <f t="shared" ref="F10:G10" si="2" xml:space="preserve"> F9</f>
        <v>-4391.5316640000001</v>
      </c>
      <c r="G10" s="3">
        <f t="shared" si="2"/>
        <v>-4611.1082472000007</v>
      </c>
    </row>
    <row r="11" spans="1:7" x14ac:dyDescent="0.15">
      <c r="A11" s="2" t="s">
        <v>75</v>
      </c>
      <c r="E11" s="3">
        <f xml:space="preserve"> 0</f>
        <v>0</v>
      </c>
      <c r="F11" s="3">
        <f t="shared" ref="F11:G11" si="3" xml:space="preserve"> 0</f>
        <v>0</v>
      </c>
      <c r="G11" s="3">
        <f t="shared" si="3"/>
        <v>0</v>
      </c>
    </row>
    <row r="12" spans="1:7" x14ac:dyDescent="0.15">
      <c r="A12" s="2" t="s">
        <v>76</v>
      </c>
      <c r="E12" s="3">
        <f xml:space="preserve"> E8 + E10 + E11</f>
        <v>3681.9088800000027</v>
      </c>
      <c r="F12" s="3">
        <f t="shared" ref="F12:G12" si="4" xml:space="preserve"> F8 + F10 + F11</f>
        <v>3179.9913403200035</v>
      </c>
      <c r="G12" s="3">
        <f t="shared" si="4"/>
        <v>4526.5957217200021</v>
      </c>
    </row>
    <row r="13" spans="1:7" x14ac:dyDescent="0.15">
      <c r="A13" s="2" t="s">
        <v>77</v>
      </c>
      <c r="E13" s="3">
        <f xml:space="preserve"> 'BS Forecast'!B6</f>
        <v>12229</v>
      </c>
      <c r="F13" s="3">
        <f xml:space="preserve"> E14</f>
        <v>15910.908880000003</v>
      </c>
      <c r="G13" s="3">
        <f xml:space="preserve"> F14</f>
        <v>19090.900220320007</v>
      </c>
    </row>
    <row r="14" spans="1:7" x14ac:dyDescent="0.15">
      <c r="A14" s="2" t="s">
        <v>78</v>
      </c>
      <c r="E14" s="3">
        <f xml:space="preserve"> E13 + E12</f>
        <v>15910.908880000003</v>
      </c>
      <c r="F14" s="3">
        <f t="shared" ref="F14:G14" si="5" xml:space="preserve"> F13 + F12</f>
        <v>19090.900220320007</v>
      </c>
      <c r="G14" s="3">
        <f t="shared" si="5"/>
        <v>23617.495942040008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D0891-9E63-0F43-9413-B8C96953BFAE}">
  <sheetPr>
    <tabColor rgb="FF0070C0"/>
  </sheetPr>
  <dimension ref="A1:G14"/>
  <sheetViews>
    <sheetView workbookViewId="0">
      <selection activeCell="J43" sqref="J43"/>
    </sheetView>
  </sheetViews>
  <sheetFormatPr baseColWidth="10" defaultRowHeight="14" x14ac:dyDescent="0.15"/>
  <cols>
    <col min="1" max="1" width="26.33203125" style="2" customWidth="1"/>
    <col min="2" max="4" width="11.83203125" style="2" hidden="1" customWidth="1"/>
    <col min="5" max="7" width="11.83203125" style="2" customWidth="1"/>
    <col min="8" max="16384" width="10.83203125" style="2"/>
  </cols>
  <sheetData>
    <row r="1" spans="1:7" x14ac:dyDescent="0.15">
      <c r="A1" s="1" t="s">
        <v>80</v>
      </c>
      <c r="B1" s="1"/>
      <c r="C1" s="1"/>
      <c r="D1" s="1"/>
      <c r="E1" s="1" t="s">
        <v>49</v>
      </c>
      <c r="F1" s="1" t="s">
        <v>50</v>
      </c>
      <c r="G1" s="1" t="s">
        <v>51</v>
      </c>
    </row>
    <row r="2" spans="1:7" x14ac:dyDescent="0.15">
      <c r="A2" s="2" t="s">
        <v>64</v>
      </c>
      <c r="E2" s="3">
        <f xml:space="preserve"> 'IS Forecast'!E8</f>
        <v>5523.9392000000043</v>
      </c>
      <c r="F2" s="3">
        <f xml:space="preserve"> 'IS Forecast'!F8</f>
        <v>6587.2974960000056</v>
      </c>
      <c r="G2" s="3">
        <f xml:space="preserve"> 'IS Forecast'!G8</f>
        <v>8453.6984532000042</v>
      </c>
    </row>
    <row r="3" spans="1:7" x14ac:dyDescent="0.15">
      <c r="A3" s="2" t="s">
        <v>81</v>
      </c>
      <c r="E3" s="3">
        <f xml:space="preserve"> -E2 * Drivers!B7</f>
        <v>-1436.2241920000013</v>
      </c>
      <c r="F3" s="3">
        <f xml:space="preserve"> -F2 * Drivers!C7</f>
        <v>-1712.6973489600016</v>
      </c>
      <c r="G3" s="3">
        <f xml:space="preserve"> -G2 * Drivers!D7</f>
        <v>-2197.9615978320012</v>
      </c>
    </row>
    <row r="4" spans="1:7" x14ac:dyDescent="0.15">
      <c r="A4" s="2" t="s">
        <v>82</v>
      </c>
      <c r="E4" s="3">
        <f>E2+E3</f>
        <v>4087.7150080000029</v>
      </c>
      <c r="F4" s="3">
        <f t="shared" ref="F4:G4" si="0">F2+F3</f>
        <v>4874.6001470400042</v>
      </c>
      <c r="G4" s="3">
        <f t="shared" si="0"/>
        <v>6255.7368553680026</v>
      </c>
    </row>
    <row r="5" spans="1:7" x14ac:dyDescent="0.15">
      <c r="A5" s="2" t="s">
        <v>67</v>
      </c>
      <c r="E5" s="3">
        <f xml:space="preserve"> 'IS Forecast'!E2 * Drivers!B9</f>
        <v>2761.9696000000004</v>
      </c>
      <c r="F5" s="3">
        <f xml:space="preserve"> 'IS Forecast'!F2 * Drivers!C9</f>
        <v>2927.6877760000002</v>
      </c>
      <c r="G5" s="3">
        <f xml:space="preserve"> 'IS Forecast'!G2 * Drivers!D9</f>
        <v>3074.0721648000008</v>
      </c>
    </row>
    <row r="6" spans="1:7" x14ac:dyDescent="0.15">
      <c r="A6" s="2" t="s">
        <v>71</v>
      </c>
      <c r="E6" s="3">
        <f xml:space="preserve"> 'CF Forecast'!E7</f>
        <v>-163.39867199999935</v>
      </c>
      <c r="F6" s="3">
        <f xml:space="preserve"> 'CF Forecast'!F7</f>
        <v>1042.5449187200002</v>
      </c>
      <c r="G6" s="3">
        <f xml:space="preserve"> 'CF Forecast'!G7</f>
        <v>1003.8850512480012</v>
      </c>
    </row>
    <row r="7" spans="1:7" x14ac:dyDescent="0.15">
      <c r="A7" s="2" t="s">
        <v>73</v>
      </c>
      <c r="E7" s="3">
        <f xml:space="preserve"> 'IS Forecast'!E2 * -Drivers!B8</f>
        <v>-4142.9544000000005</v>
      </c>
      <c r="F7" s="3">
        <f xml:space="preserve"> 'IS Forecast'!F2 * -Drivers!C8</f>
        <v>-4391.5316640000001</v>
      </c>
      <c r="G7" s="3">
        <f xml:space="preserve"> 'IS Forecast'!G2 * -Drivers!D8</f>
        <v>-4611.1082472000007</v>
      </c>
    </row>
    <row r="8" spans="1:7" x14ac:dyDescent="0.15">
      <c r="A8" s="2" t="s">
        <v>83</v>
      </c>
      <c r="E8" s="3">
        <f xml:space="preserve"> E4 + E5 - E6 - E7</f>
        <v>11156.037680000003</v>
      </c>
      <c r="F8" s="3">
        <f t="shared" ref="F8:G8" si="1" xml:space="preserve"> F4 + F5 - F6 - F7</f>
        <v>11151.274668320006</v>
      </c>
      <c r="G8" s="3">
        <f t="shared" si="1"/>
        <v>12937.032216120002</v>
      </c>
    </row>
    <row r="9" spans="1:7" x14ac:dyDescent="0.15">
      <c r="A9" s="2" t="s">
        <v>84</v>
      </c>
      <c r="E9" s="10">
        <f xml:space="preserve"> 1 / (1 + Drivers!$D$13)</f>
        <v>0.93457943925233644</v>
      </c>
      <c r="F9" s="10">
        <f xml:space="preserve"> 1 / (1 + Drivers!$D$13)^2</f>
        <v>0.87343872827321156</v>
      </c>
      <c r="G9" s="10">
        <f xml:space="preserve"> 1 / (1 + Drivers!$D$13)^3</f>
        <v>0.81629787689085187</v>
      </c>
    </row>
    <row r="10" spans="1:7" x14ac:dyDescent="0.15">
      <c r="A10" s="2" t="s">
        <v>85</v>
      </c>
      <c r="E10" s="3">
        <f xml:space="preserve"> E8 * E9</f>
        <v>10426.20343925234</v>
      </c>
      <c r="F10" s="3">
        <f t="shared" ref="F10:G10" si="2" xml:space="preserve"> F8 * F9</f>
        <v>9739.9551649227051</v>
      </c>
      <c r="G10" s="3">
        <f t="shared" si="2"/>
        <v>10560.471931287309</v>
      </c>
    </row>
    <row r="12" spans="1:7" x14ac:dyDescent="0.15">
      <c r="A12" s="2" t="s">
        <v>86</v>
      </c>
      <c r="G12" s="3">
        <f xml:space="preserve"> G8 * (1 + Drivers!D14) / (Drivers!D13 - Drivers!D14)</f>
        <v>263915.45720884803</v>
      </c>
    </row>
    <row r="13" spans="1:7" x14ac:dyDescent="0.15">
      <c r="A13" s="2" t="s">
        <v>87</v>
      </c>
      <c r="G13" s="3">
        <f xml:space="preserve"> G12 * G9</f>
        <v>215433.62739826113</v>
      </c>
    </row>
    <row r="14" spans="1:7" x14ac:dyDescent="0.15">
      <c r="A14" s="2" t="s">
        <v>88</v>
      </c>
      <c r="G14" s="3">
        <f xml:space="preserve"> SUM(E10:G10) + G13</f>
        <v>246160.25793372348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7FD1-D766-934E-91B2-E2D4B62AD696}">
  <sheetPr>
    <tabColor theme="1" tint="0.499984740745262"/>
  </sheetPr>
  <dimension ref="A1:D13"/>
  <sheetViews>
    <sheetView workbookViewId="0">
      <selection activeCell="E40" sqref="E40"/>
    </sheetView>
  </sheetViews>
  <sheetFormatPr baseColWidth="10" defaultRowHeight="14" x14ac:dyDescent="0.15"/>
  <cols>
    <col min="1" max="1" width="28.83203125" style="2" bestFit="1" customWidth="1"/>
    <col min="2" max="16384" width="10.83203125" style="2"/>
  </cols>
  <sheetData>
    <row r="1" spans="1:4" x14ac:dyDescent="0.15">
      <c r="A1" s="1" t="s">
        <v>13</v>
      </c>
      <c r="B1" s="1">
        <v>2024</v>
      </c>
      <c r="C1" s="1">
        <v>2023</v>
      </c>
      <c r="D1" s="1">
        <v>2022</v>
      </c>
    </row>
    <row r="2" spans="1:4" x14ac:dyDescent="0.15">
      <c r="A2" s="2" t="s">
        <v>0</v>
      </c>
      <c r="B2" s="2">
        <v>64532</v>
      </c>
      <c r="C2" s="2">
        <v>69865</v>
      </c>
      <c r="D2" s="2">
        <v>61753</v>
      </c>
    </row>
    <row r="3" spans="1:4" x14ac:dyDescent="0.15">
      <c r="A3" s="2" t="s">
        <v>2</v>
      </c>
      <c r="B3" s="2">
        <v>-54419</v>
      </c>
      <c r="C3" s="2">
        <v>-58576</v>
      </c>
      <c r="D3" s="2">
        <v>-52237</v>
      </c>
    </row>
    <row r="4" spans="1:4" x14ac:dyDescent="0.15">
      <c r="A4" s="2" t="s">
        <v>14</v>
      </c>
      <c r="B4" s="3">
        <v>10113</v>
      </c>
      <c r="C4" s="2">
        <v>11289</v>
      </c>
      <c r="D4" s="2">
        <v>9516</v>
      </c>
    </row>
    <row r="5" spans="1:4" x14ac:dyDescent="0.15">
      <c r="A5" s="2" t="s">
        <v>3</v>
      </c>
      <c r="B5" s="3">
        <v>-3352</v>
      </c>
      <c r="C5" s="2">
        <v>-3377</v>
      </c>
      <c r="D5" s="2">
        <v>-3184</v>
      </c>
    </row>
    <row r="6" spans="1:4" x14ac:dyDescent="0.15">
      <c r="A6" s="2" t="s">
        <v>4</v>
      </c>
      <c r="B6" s="3">
        <v>-762</v>
      </c>
      <c r="C6" s="2">
        <v>-771</v>
      </c>
      <c r="D6" s="2">
        <v>-759</v>
      </c>
    </row>
    <row r="7" spans="1:4" x14ac:dyDescent="0.15">
      <c r="A7" s="2" t="s">
        <v>5</v>
      </c>
      <c r="B7" s="3">
        <v>-2123</v>
      </c>
      <c r="C7" s="2">
        <v>-860</v>
      </c>
      <c r="D7" s="2">
        <v>1977</v>
      </c>
    </row>
    <row r="8" spans="1:4" x14ac:dyDescent="0.15">
      <c r="A8" s="2" t="s">
        <v>6</v>
      </c>
      <c r="B8" s="3">
        <v>3903</v>
      </c>
      <c r="C8" s="2">
        <v>6280</v>
      </c>
      <c r="D8" s="2">
        <v>7550</v>
      </c>
    </row>
    <row r="9" spans="1:4" x14ac:dyDescent="0.15">
      <c r="A9" s="2" t="s">
        <v>15</v>
      </c>
      <c r="B9" s="4">
        <v>0.06</v>
      </c>
      <c r="C9" s="4">
        <v>0.09</v>
      </c>
      <c r="D9" s="5">
        <v>0.122</v>
      </c>
    </row>
    <row r="10" spans="1:4" x14ac:dyDescent="0.15">
      <c r="A10" s="2" t="s">
        <v>7</v>
      </c>
      <c r="B10" s="3">
        <v>1097</v>
      </c>
      <c r="C10" s="2">
        <v>1423</v>
      </c>
      <c r="D10" s="2">
        <v>1522</v>
      </c>
    </row>
    <row r="11" spans="1:4" x14ac:dyDescent="0.15">
      <c r="A11" s="2" t="s">
        <v>8</v>
      </c>
      <c r="B11" s="3">
        <v>5000</v>
      </c>
      <c r="C11" s="2">
        <v>7703</v>
      </c>
      <c r="D11" s="2">
        <v>9072</v>
      </c>
    </row>
    <row r="12" spans="1:4" x14ac:dyDescent="0.15">
      <c r="A12" s="2" t="s">
        <v>9</v>
      </c>
      <c r="B12" s="3">
        <v>-811</v>
      </c>
      <c r="C12" s="2">
        <v>-1443</v>
      </c>
      <c r="D12" s="2">
        <v>-1956</v>
      </c>
    </row>
    <row r="13" spans="1:4" x14ac:dyDescent="0.15">
      <c r="A13" s="2" t="s">
        <v>10</v>
      </c>
      <c r="B13" s="3">
        <v>4189</v>
      </c>
      <c r="C13" s="2">
        <v>6260</v>
      </c>
      <c r="D13" s="2">
        <v>7116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5C97-C3B0-6F4C-BF4C-7EE81A7DFD73}">
  <sheetPr>
    <tabColor theme="1" tint="0.499984740745262"/>
  </sheetPr>
  <dimension ref="A1:E17"/>
  <sheetViews>
    <sheetView workbookViewId="0">
      <selection activeCell="E40" sqref="E40"/>
    </sheetView>
  </sheetViews>
  <sheetFormatPr baseColWidth="10" defaultRowHeight="14" x14ac:dyDescent="0.15"/>
  <cols>
    <col min="1" max="1" width="29.6640625" style="2" bestFit="1" customWidth="1"/>
    <col min="2" max="4" width="11" style="2" customWidth="1"/>
    <col min="5" max="5" width="12.6640625" style="2" bestFit="1" customWidth="1"/>
    <col min="6" max="16384" width="10.83203125" style="2"/>
  </cols>
  <sheetData>
    <row r="1" spans="1:5" x14ac:dyDescent="0.15">
      <c r="A1" s="1" t="s">
        <v>16</v>
      </c>
      <c r="B1" s="1">
        <v>2024</v>
      </c>
      <c r="C1" s="1">
        <v>2023</v>
      </c>
      <c r="D1" s="1">
        <v>2022</v>
      </c>
      <c r="E1" s="1"/>
    </row>
    <row r="2" spans="1:5" x14ac:dyDescent="0.15">
      <c r="A2" s="2" t="s">
        <v>17</v>
      </c>
      <c r="B2" s="2">
        <v>35318</v>
      </c>
      <c r="C2" s="2">
        <v>35230</v>
      </c>
      <c r="D2" s="2">
        <v>32675</v>
      </c>
    </row>
    <row r="3" spans="1:5" x14ac:dyDescent="0.15">
      <c r="A3" s="2" t="s">
        <v>18</v>
      </c>
      <c r="B3" s="2">
        <v>37703</v>
      </c>
      <c r="C3" s="2">
        <v>38199</v>
      </c>
      <c r="D3" s="2">
        <v>38119</v>
      </c>
    </row>
    <row r="4" spans="1:5" x14ac:dyDescent="0.15">
      <c r="A4" s="2" t="s">
        <v>19</v>
      </c>
      <c r="B4" s="2">
        <v>7837</v>
      </c>
      <c r="C4" s="2">
        <v>7966</v>
      </c>
      <c r="D4" s="2">
        <v>8336</v>
      </c>
    </row>
    <row r="5" spans="1:5" x14ac:dyDescent="0.15">
      <c r="A5" s="2" t="s">
        <v>20</v>
      </c>
      <c r="B5" s="2">
        <v>5932</v>
      </c>
      <c r="C5" s="2">
        <v>5598</v>
      </c>
      <c r="D5" s="2">
        <v>5471</v>
      </c>
    </row>
    <row r="6" spans="1:5" x14ac:dyDescent="0.15">
      <c r="A6" s="2" t="s">
        <v>21</v>
      </c>
      <c r="B6" s="2">
        <v>12229</v>
      </c>
      <c r="C6" s="2">
        <v>13436</v>
      </c>
      <c r="D6" s="2">
        <v>9599</v>
      </c>
    </row>
    <row r="7" spans="1:5" x14ac:dyDescent="0.15">
      <c r="A7" s="2" t="s">
        <v>22</v>
      </c>
      <c r="B7" s="2">
        <v>76</v>
      </c>
      <c r="C7" s="2">
        <v>18</v>
      </c>
      <c r="D7" s="2">
        <v>18</v>
      </c>
    </row>
    <row r="8" spans="1:5" x14ac:dyDescent="0.15">
      <c r="A8" s="1" t="s">
        <v>11</v>
      </c>
      <c r="B8" s="2">
        <v>73097</v>
      </c>
      <c r="C8" s="2">
        <v>73447</v>
      </c>
      <c r="D8" s="2">
        <v>70812</v>
      </c>
    </row>
    <row r="10" spans="1:5" x14ac:dyDescent="0.15">
      <c r="A10" s="2" t="s">
        <v>1</v>
      </c>
      <c r="B10" s="2">
        <v>35882</v>
      </c>
      <c r="C10" s="2">
        <v>33839</v>
      </c>
      <c r="D10" s="2">
        <v>31582</v>
      </c>
    </row>
    <row r="12" spans="1:5" x14ac:dyDescent="0.15">
      <c r="A12" s="2" t="s">
        <v>23</v>
      </c>
      <c r="B12" s="2">
        <v>37215</v>
      </c>
      <c r="C12" s="2">
        <v>39608</v>
      </c>
      <c r="D12" s="2">
        <v>39230</v>
      </c>
    </row>
    <row r="13" spans="1:5" x14ac:dyDescent="0.15">
      <c r="A13" s="2" t="s">
        <v>24</v>
      </c>
      <c r="B13" s="2">
        <v>14882</v>
      </c>
      <c r="C13" s="2">
        <v>15228</v>
      </c>
      <c r="D13" s="2">
        <v>14415</v>
      </c>
    </row>
    <row r="14" spans="1:5" x14ac:dyDescent="0.15">
      <c r="A14" s="2" t="s">
        <v>25</v>
      </c>
      <c r="B14" s="2">
        <v>22384</v>
      </c>
      <c r="C14" s="2">
        <v>24380</v>
      </c>
      <c r="D14" s="2">
        <v>24815</v>
      </c>
    </row>
    <row r="15" spans="1:5" x14ac:dyDescent="0.15">
      <c r="A15" s="2" t="s">
        <v>26</v>
      </c>
      <c r="B15" s="2">
        <v>8275</v>
      </c>
      <c r="C15" s="2">
        <v>8839</v>
      </c>
      <c r="D15" s="2">
        <v>8632</v>
      </c>
    </row>
    <row r="17" spans="1:4" x14ac:dyDescent="0.15">
      <c r="A17" s="2" t="s">
        <v>27</v>
      </c>
      <c r="B17" s="2">
        <v>73097</v>
      </c>
      <c r="C17" s="2">
        <v>73447</v>
      </c>
      <c r="D17" s="2">
        <v>70812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3D513-B95A-CB4A-932F-998D19DEF8AA}">
  <sheetPr>
    <tabColor theme="1" tint="0.499984740745262"/>
  </sheetPr>
  <dimension ref="A1:F27"/>
  <sheetViews>
    <sheetView workbookViewId="0">
      <selection activeCell="E41" sqref="E41"/>
    </sheetView>
  </sheetViews>
  <sheetFormatPr baseColWidth="10" defaultRowHeight="14" x14ac:dyDescent="0.15"/>
  <cols>
    <col min="1" max="1" width="54.6640625" style="2" bestFit="1" customWidth="1"/>
    <col min="2" max="4" width="11.1640625" style="2" customWidth="1"/>
    <col min="5" max="6" width="9.1640625" style="2" bestFit="1" customWidth="1"/>
    <col min="7" max="16384" width="10.83203125" style="2"/>
  </cols>
  <sheetData>
    <row r="1" spans="1:6" x14ac:dyDescent="0.15">
      <c r="A1" s="1" t="s">
        <v>28</v>
      </c>
      <c r="B1" s="1">
        <v>2024</v>
      </c>
      <c r="C1" s="1">
        <v>2023</v>
      </c>
      <c r="D1" s="1">
        <v>2022</v>
      </c>
      <c r="E1" s="1"/>
      <c r="F1" s="1"/>
    </row>
    <row r="2" spans="1:6" x14ac:dyDescent="0.15">
      <c r="A2" s="1" t="s">
        <v>29</v>
      </c>
      <c r="B2" s="2">
        <v>13436</v>
      </c>
      <c r="C2" s="2">
        <v>9599</v>
      </c>
      <c r="D2" s="2">
        <v>12235</v>
      </c>
    </row>
    <row r="3" spans="1:6" x14ac:dyDescent="0.15">
      <c r="A3" s="1"/>
    </row>
    <row r="4" spans="1:6" x14ac:dyDescent="0.15">
      <c r="A4" s="1" t="s">
        <v>30</v>
      </c>
      <c r="B4" s="2">
        <v>8674</v>
      </c>
      <c r="C4" s="2">
        <v>11135</v>
      </c>
      <c r="D4" s="2">
        <v>10028</v>
      </c>
    </row>
    <row r="5" spans="1:6" x14ac:dyDescent="0.15">
      <c r="A5" s="1"/>
    </row>
    <row r="6" spans="1:6" x14ac:dyDescent="0.15">
      <c r="A6" s="1" t="s">
        <v>31</v>
      </c>
      <c r="B6" s="2">
        <v>-5602</v>
      </c>
      <c r="C6" s="2">
        <v>-6395</v>
      </c>
      <c r="D6" s="2">
        <v>-5221</v>
      </c>
    </row>
    <row r="7" spans="1:6" x14ac:dyDescent="0.15">
      <c r="A7" s="1" t="s">
        <v>32</v>
      </c>
      <c r="B7" s="2">
        <v>-3487</v>
      </c>
      <c r="C7" s="2">
        <v>-3251</v>
      </c>
      <c r="D7" s="2">
        <v>-2590</v>
      </c>
    </row>
    <row r="8" spans="1:6" x14ac:dyDescent="0.15">
      <c r="A8" s="1" t="s">
        <v>33</v>
      </c>
      <c r="B8" s="2">
        <v>-2141</v>
      </c>
      <c r="C8" s="2">
        <v>-2705</v>
      </c>
      <c r="D8" s="2">
        <v>-2079</v>
      </c>
    </row>
    <row r="9" spans="1:6" x14ac:dyDescent="0.15">
      <c r="A9" s="1" t="s">
        <v>34</v>
      </c>
      <c r="B9" s="2">
        <v>-22</v>
      </c>
      <c r="C9" s="2">
        <v>-504</v>
      </c>
      <c r="D9" s="2">
        <v>-697</v>
      </c>
    </row>
    <row r="10" spans="1:6" x14ac:dyDescent="0.15">
      <c r="A10" s="1" t="s">
        <v>35</v>
      </c>
      <c r="B10" s="2">
        <v>48</v>
      </c>
      <c r="C10" s="2">
        <v>64</v>
      </c>
      <c r="D10" s="2">
        <v>145</v>
      </c>
    </row>
    <row r="12" spans="1:6" x14ac:dyDescent="0.15">
      <c r="A12" s="2" t="s">
        <v>12</v>
      </c>
      <c r="B12" s="2">
        <v>3072</v>
      </c>
      <c r="C12" s="2">
        <v>4740</v>
      </c>
      <c r="D12" s="2">
        <v>4808</v>
      </c>
    </row>
    <row r="14" spans="1:6" x14ac:dyDescent="0.15">
      <c r="A14" s="2" t="s">
        <v>36</v>
      </c>
      <c r="B14" s="2">
        <v>-392</v>
      </c>
      <c r="C14" s="2">
        <v>3596</v>
      </c>
      <c r="D14" s="2">
        <v>-3148</v>
      </c>
    </row>
    <row r="15" spans="1:6" x14ac:dyDescent="0.15">
      <c r="A15" s="2" t="s">
        <v>37</v>
      </c>
      <c r="B15" s="2">
        <v>0</v>
      </c>
      <c r="C15" s="2">
        <v>0</v>
      </c>
      <c r="D15" s="2">
        <v>191</v>
      </c>
    </row>
    <row r="16" spans="1:6" x14ac:dyDescent="0.15">
      <c r="A16" s="2" t="s">
        <v>38</v>
      </c>
      <c r="B16" s="2">
        <v>-3831</v>
      </c>
      <c r="C16" s="2">
        <v>-3546</v>
      </c>
      <c r="D16" s="2">
        <v>-4025</v>
      </c>
    </row>
    <row r="17" spans="1:4" x14ac:dyDescent="0.15">
      <c r="A17" s="2" t="s">
        <v>39</v>
      </c>
      <c r="B17" s="2">
        <v>-268</v>
      </c>
      <c r="C17" s="2">
        <v>-767</v>
      </c>
      <c r="D17" s="2">
        <v>-445</v>
      </c>
    </row>
    <row r="18" spans="1:4" x14ac:dyDescent="0.15">
      <c r="A18" s="2" t="s">
        <v>40</v>
      </c>
      <c r="B18" s="2">
        <v>213</v>
      </c>
      <c r="C18" s="2">
        <v>-186</v>
      </c>
      <c r="D18" s="2">
        <v>32</v>
      </c>
    </row>
    <row r="20" spans="1:4" x14ac:dyDescent="0.15">
      <c r="A20" s="2" t="s">
        <v>41</v>
      </c>
      <c r="B20" s="2">
        <v>-1207</v>
      </c>
      <c r="C20" s="2">
        <v>3838</v>
      </c>
      <c r="D20" s="2">
        <v>-2636</v>
      </c>
    </row>
    <row r="22" spans="1:4" x14ac:dyDescent="0.15">
      <c r="A22" s="2" t="s">
        <v>42</v>
      </c>
      <c r="B22" s="2">
        <v>12229</v>
      </c>
      <c r="C22" s="2">
        <v>13436</v>
      </c>
      <c r="D22" s="2">
        <v>9599</v>
      </c>
    </row>
    <row r="24" spans="1:4" x14ac:dyDescent="0.15">
      <c r="A24" s="2" t="s">
        <v>43</v>
      </c>
      <c r="B24" s="2">
        <v>22847</v>
      </c>
      <c r="C24" s="2">
        <v>23554</v>
      </c>
      <c r="D24" s="2">
        <v>22570</v>
      </c>
    </row>
    <row r="26" spans="1:4" x14ac:dyDescent="0.15">
      <c r="A26" s="2" t="s">
        <v>44</v>
      </c>
      <c r="B26" s="2">
        <v>-5994</v>
      </c>
      <c r="C26" s="2">
        <v>-2799</v>
      </c>
      <c r="D26" s="2">
        <v>-8369</v>
      </c>
    </row>
    <row r="27" spans="1:4" x14ac:dyDescent="0.15">
      <c r="A27" s="2" t="s">
        <v>45</v>
      </c>
      <c r="B27" s="2">
        <v>-4099</v>
      </c>
      <c r="C27" s="2">
        <v>-4312</v>
      </c>
      <c r="D27" s="2">
        <v>-4327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Drivers</vt:lpstr>
      <vt:lpstr>IS Forecast</vt:lpstr>
      <vt:lpstr>BS Forecast</vt:lpstr>
      <vt:lpstr>CF Forecast</vt:lpstr>
      <vt:lpstr>DCF</vt:lpstr>
      <vt:lpstr>IS Actuals</vt:lpstr>
      <vt:lpstr>BS Actuals</vt:lpstr>
      <vt:lpstr>CF Actuals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abhinavmenon920@gmail.com</dc:creator>
  <cp:lastModifiedBy>abhinavmenon920@gmail.com</cp:lastModifiedBy>
  <dcterms:created xsi:type="dcterms:W3CDTF">2025-12-11T23:56:46Z</dcterms:created>
  <dcterms:modified xsi:type="dcterms:W3CDTF">2025-12-12T20:54:11Z</dcterms:modified>
</cp:coreProperties>
</file>